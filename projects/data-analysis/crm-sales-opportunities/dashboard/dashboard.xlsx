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 Oliveira\Documents\Analises Prontas para GITHUB\crm-sales-opportunities\dashboard\"/>
    </mc:Choice>
  </mc:AlternateContent>
  <xr:revisionPtr revIDLastSave="0" documentId="13_ncr:1_{DE0E6727-BA93-4DEA-A87D-B3B52B6A8043}" xr6:coauthVersionLast="47" xr6:coauthVersionMax="47" xr10:uidLastSave="{00000000-0000-0000-0000-000000000000}"/>
  <bookViews>
    <workbookView xWindow="-120" yWindow="-120" windowWidth="20730" windowHeight="11310" xr2:uid="{E6A94FC1-3673-4CCB-A164-0485EC2074C8}"/>
  </bookViews>
  <sheets>
    <sheet name="Capa" sheetId="1" r:id="rId1"/>
    <sheet name="Dados_Bruto" sheetId="2" r:id="rId2"/>
    <sheet name="Tabelas_Dinâmicas" sheetId="3" r:id="rId3"/>
    <sheet name="Dashboard" sheetId="4" r:id="rId4"/>
  </sheets>
  <definedNames>
    <definedName name="DadosExternos_1" localSheetId="1" hidden="1">Dados_Bruto!$B$7:$C$17</definedName>
    <definedName name="DadosExternos_2" localSheetId="1" hidden="1">Dados_Bruto!$E$7:$F$17</definedName>
    <definedName name="DadosExternos_3" localSheetId="1" hidden="1">Dados_Bruto!$H$7:$I$12</definedName>
    <definedName name="DadosExternos_4" localSheetId="1" hidden="1">Dados_Bruto!$G$29:$H$39</definedName>
    <definedName name="DadosExternos_5" localSheetId="1" hidden="1">Dados_Bruto!$B$20:$C$26</definedName>
    <definedName name="DadosExternos_6" localSheetId="1" hidden="1">Dados_Bruto!$E$20:$F$23</definedName>
    <definedName name="DadosExternos_7" localSheetId="1" hidden="1">Dados_Bruto!$H$15:$I$25</definedName>
    <definedName name="DadosExternos_8" localSheetId="1" hidden="1">Dados_Bruto!$B$38:$C$48</definedName>
    <definedName name="DadosExternos_9" localSheetId="1" hidden="1">Dados_Bruto!$B$29:$E$35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87A8F-A46A-4CEA-9829-0FB91895DE3C}" keepAlive="1" name="Consulta - 01-faturamento-geral" description="Conexão com a consulta '01-faturamento-geral' na pasta de trabalho." type="5" refreshedVersion="8" background="1" saveData="1">
    <dbPr connection="Provider=Microsoft.Mashup.OleDb.1;Data Source=$Workbook$;Location=01-faturamento-geral;Extended Properties=&quot;&quot;" command="SELECT * FROM [01-faturamento-geral]"/>
  </connection>
  <connection id="2" xr16:uid="{9D406B50-1F47-45F7-B99C-DB491D042DB1}" keepAlive="1" name="Consulta - 02-faturamento-empresa" description="Conexão com a consulta '02-faturamento-empresa' na pasta de trabalho." type="5" refreshedVersion="8" background="1" saveData="1">
    <dbPr connection="Provider=Microsoft.Mashup.OleDb.1;Data Source=$Workbook$;Location=02-faturamento-empresa;Extended Properties=&quot;&quot;" command="SELECT * FROM [02-faturamento-empresa]"/>
  </connection>
  <connection id="3" xr16:uid="{0536BD2A-A19E-47B0-9A8C-C51EC0EAB1D4}" keepAlive="1" name="Consulta - 03-sede-mais-compra" description="Conexão com a consulta '03-sede-mais-compra' na pasta de trabalho." type="5" refreshedVersion="8" background="1" saveData="1">
    <dbPr connection="Provider=Microsoft.Mashup.OleDb.1;Data Source=$Workbook$;Location=03-sede-mais-compra;Extended Properties=&quot;&quot;" command="SELECT * FROM [03-sede-mais-compra]"/>
  </connection>
  <connection id="4" xr16:uid="{8DA12FCF-D386-4B6F-B2AE-B9F350A7A7FF}" keepAlive="1" name="Consulta - 04-top10-representante-vendas-faturamento" description="Conexão com a consulta '04-top10-representante-vendas-faturamento' na pasta de trabalho." type="5" refreshedVersion="8" background="1" saveData="1">
    <dbPr connection="Provider=Microsoft.Mashup.OleDb.1;Data Source=$Workbook$;Location=04-top10-representante-vendas-faturamento;Extended Properties=&quot;&quot;" command="SELECT * FROM [04-top10-representante-vendas-faturamento]"/>
  </connection>
  <connection id="5" xr16:uid="{88C12B6D-AFBD-4D80-A3A8-0AE7FB245AAD}" keepAlive="1" name="Consulta - 05-top10-gerente-vendas-faturamento" description="Conexão com a consulta '05-top10-gerente-vendas-faturamento' na pasta de trabalho." type="5" refreshedVersion="8" background="1" saveData="1">
    <dbPr connection="Provider=Microsoft.Mashup.OleDb.1;Data Source=$Workbook$;Location=05-top10-gerente-vendas-faturamento;Extended Properties=&quot;&quot;" command="SELECT * FROM [05-top10-gerente-vendas-faturamento]"/>
  </connection>
  <connection id="6" xr16:uid="{93EB7934-663A-4F6D-BC96-BBA36E9C672E}" keepAlive="1" name="Consulta - 06-escritorio-regional-vendas" description="Conexão com a consulta '06-escritorio-regional-vendas' na pasta de trabalho." type="5" refreshedVersion="8" background="1" saveData="1">
    <dbPr connection="Provider=Microsoft.Mashup.OleDb.1;Data Source=$Workbook$;Location=06-escritorio-regional-vendas;Extended Properties=&quot;&quot;" command="SELECT * FROM [06-escritorio-regional-vendas]"/>
  </connection>
  <connection id="7" xr16:uid="{1C7BE198-59BA-498E-AA02-C96856B12CDD}" keepAlive="1" name="Consulta - 07-top10-representante-vendas-quantidade" description="Conexão com a consulta '07-top10-representante-vendas-quantidade' na pasta de trabalho." type="5" refreshedVersion="8" background="1" saveData="1">
    <dbPr connection="Provider=Microsoft.Mashup.OleDb.1;Data Source=$Workbook$;Location=07-top10-representante-vendas-quantidade;Extended Properties=&quot;&quot;" command="SELECT * FROM [07-top10-representante-vendas-quantidade]"/>
  </connection>
  <connection id="8" xr16:uid="{1481A6DB-09F4-4223-B155-FC6DBB4F956B}" keepAlive="1" name="Consulta - 08-top10-representante-vendas-velocidade" description="Conexão com a consulta '08-top10-representante-vendas-velocidade' na pasta de trabalho." type="5" refreshedVersion="8" background="1" saveData="1">
    <dbPr connection="Provider=Microsoft.Mashup.OleDb.1;Data Source=$Workbook$;Location=08-top10-representante-vendas-velocidade;Extended Properties=&quot;&quot;" command="SELECT * FROM [08-top10-representante-vendas-velocidade]"/>
  </connection>
  <connection id="9" xr16:uid="{494E1B8A-02A6-46B6-87C4-823A730FF532}" keepAlive="1" name="Consulta - 09-produto-mais-vendido" description="Conexão com a consulta '09-produto-mais-vendido' na pasta de trabalho." type="5" refreshedVersion="8" background="1" saveData="1">
    <dbPr connection="Provider=Microsoft.Mashup.OleDb.1;Data Source=$Workbook$;Location=09-produto-mais-vendido;Extended Properties=&quot;&quot;" command="SELECT * FROM [09-produto-mais-vendido]"/>
  </connection>
</connections>
</file>

<file path=xl/sharedStrings.xml><?xml version="1.0" encoding="utf-8"?>
<sst xmlns="http://schemas.openxmlformats.org/spreadsheetml/2006/main" count="105" uniqueCount="66">
  <si>
    <t>data_fechamento</t>
  </si>
  <si>
    <t>faturamento</t>
  </si>
  <si>
    <t>empresa</t>
  </si>
  <si>
    <t>Kan-code</t>
  </si>
  <si>
    <t>Konex</t>
  </si>
  <si>
    <t>Cheers</t>
  </si>
  <si>
    <t>Goodsilron</t>
  </si>
  <si>
    <t>Condax</t>
  </si>
  <si>
    <t>Hottechi</t>
  </si>
  <si>
    <t>Xx-holding</t>
  </si>
  <si>
    <t>Treequote</t>
  </si>
  <si>
    <t>Isdom</t>
  </si>
  <si>
    <t>Rangreen</t>
  </si>
  <si>
    <t>sede_da_empresa</t>
  </si>
  <si>
    <t>United States</t>
  </si>
  <si>
    <t>Korea</t>
  </si>
  <si>
    <t>Panama</t>
  </si>
  <si>
    <t>Belgium</t>
  </si>
  <si>
    <t>Norway</t>
  </si>
  <si>
    <t>representante_de_vendas</t>
  </si>
  <si>
    <t>Darcel Schlecht</t>
  </si>
  <si>
    <t>James Ascencio</t>
  </si>
  <si>
    <t>Vicki Laflamme</t>
  </si>
  <si>
    <t>Anna Snelling</t>
  </si>
  <si>
    <t>Hayden Neloms</t>
  </si>
  <si>
    <t>Cassey Cress</t>
  </si>
  <si>
    <t>Elease Gluck</t>
  </si>
  <si>
    <t>Donn Cantrell</t>
  </si>
  <si>
    <t>Marty Freudenburg</t>
  </si>
  <si>
    <t>Maureen Marcano</t>
  </si>
  <si>
    <t>gerente_de_vendas</t>
  </si>
  <si>
    <t>Celia Rouche</t>
  </si>
  <si>
    <t>Summer Sewald</t>
  </si>
  <si>
    <t>Melvin Marxen</t>
  </si>
  <si>
    <t>Rocco Neubert</t>
  </si>
  <si>
    <t>Dustin Brinkmann</t>
  </si>
  <si>
    <t>Cara Losch</t>
  </si>
  <si>
    <t>escritorio_regional</t>
  </si>
  <si>
    <t>West</t>
  </si>
  <si>
    <t>Central</t>
  </si>
  <si>
    <t>East</t>
  </si>
  <si>
    <t>quantidade_de_vendas</t>
  </si>
  <si>
    <t>Versie Hillebrand</t>
  </si>
  <si>
    <t>Kary Hendrixson</t>
  </si>
  <si>
    <t>Kami Bicknell</t>
  </si>
  <si>
    <t>Jonathan Berthelot</t>
  </si>
  <si>
    <t>Moses Frase</t>
  </si>
  <si>
    <t>Lajuana Vencill</t>
  </si>
  <si>
    <t>media_de_dias</t>
  </si>
  <si>
    <t>Rosie Papadopoulos</t>
  </si>
  <si>
    <t>Cecily Lampkin</t>
  </si>
  <si>
    <t>Daniell Hammack</t>
  </si>
  <si>
    <t>Boris Faz</t>
  </si>
  <si>
    <t>Zane Levy</t>
  </si>
  <si>
    <t>produtos</t>
  </si>
  <si>
    <t>preco</t>
  </si>
  <si>
    <t>quantidade_vendida</t>
  </si>
  <si>
    <t>GTX Plus Pro</t>
  </si>
  <si>
    <t>MG Advanced</t>
  </si>
  <si>
    <t>GTX Plus Basic</t>
  </si>
  <si>
    <t>GTX Basic</t>
  </si>
  <si>
    <t>GTK 500</t>
  </si>
  <si>
    <t>MG Special</t>
  </si>
  <si>
    <t>Rótulos de Linha</t>
  </si>
  <si>
    <t>Total Geral</t>
  </si>
  <si>
    <t>Soma de 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</si>
</sst>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19" formatCode="dd/mm/yyyy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[dashboard.xlsx]Tabelas_Dinâmicas!Tabela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+mn-lt"/>
                <a:cs typeface="Arial" panose="020B0604020202020204" pitchFamily="34" charset="0"/>
              </a:rPr>
              <a:t>Faturamento</a:t>
            </a:r>
            <a:endParaRPr lang="en-US" sz="1600" b="1" baseline="0">
              <a:solidFill>
                <a:schemeClr val="tx1"/>
              </a:solidFill>
              <a:latin typeface="+mn-lt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7449774903964816"/>
          <c:y val="8.948549013915698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numCol="1" spcCol="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j-lt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9023830630442721E-2"/>
          <c:y val="0.12202333034696061"/>
          <c:w val="0.93946811284351051"/>
          <c:h val="0.639565128702330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Tabelas_Dinâmicas!$C$7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0" numCol="1" spcCol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lt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Tabelas_Dinâmicas!$B$8:$B$18</c:f>
              <c:strCache>
                <c:ptCount val="10"/>
                <c:pt idx="0">
                  <c:v>01/03/2017</c:v>
                </c:pt>
                <c:pt idx="1">
                  <c:v>01/04/2017</c:v>
                </c:pt>
                <c:pt idx="2">
                  <c:v>01/05/2017</c:v>
                </c:pt>
                <c:pt idx="3">
                  <c:v>01/06/2017</c:v>
                </c:pt>
                <c:pt idx="4">
                  <c:v>01/07/2017</c:v>
                </c:pt>
                <c:pt idx="5">
                  <c:v>01/08/2017</c:v>
                </c:pt>
                <c:pt idx="6">
                  <c:v>01/09/2017</c:v>
                </c:pt>
                <c:pt idx="7">
                  <c:v>01/10/2017</c:v>
                </c:pt>
                <c:pt idx="8">
                  <c:v>01/11/2017</c:v>
                </c:pt>
                <c:pt idx="9">
                  <c:v>01/12/2017</c:v>
                </c:pt>
              </c:strCache>
            </c:strRef>
          </c:cat>
          <c:val>
            <c:numRef>
              <c:f>Tabelas_Dinâmicas!$C$8:$C$18</c:f>
              <c:numCache>
                <c:formatCode>_-[$$-409]* #,##0.00_ ;_-[$$-409]* \-#,##0.00\ ;_-[$$-409]* "-"??_ ;_-@_ </c:formatCode>
                <c:ptCount val="10"/>
                <c:pt idx="0">
                  <c:v>757706</c:v>
                </c:pt>
                <c:pt idx="1">
                  <c:v>449481</c:v>
                </c:pt>
                <c:pt idx="2">
                  <c:v>673137</c:v>
                </c:pt>
                <c:pt idx="3">
                  <c:v>884971</c:v>
                </c:pt>
                <c:pt idx="4">
                  <c:v>443197</c:v>
                </c:pt>
                <c:pt idx="5">
                  <c:v>696390</c:v>
                </c:pt>
                <c:pt idx="6">
                  <c:v>746069</c:v>
                </c:pt>
                <c:pt idx="7">
                  <c:v>466965</c:v>
                </c:pt>
                <c:pt idx="8">
                  <c:v>622472</c:v>
                </c:pt>
                <c:pt idx="9">
                  <c:v>754568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1-43CF-BA54-9D2AD0EEFA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555615"/>
        <c:axId val="213980831"/>
      </c:barChart>
      <c:catAx>
        <c:axId val="47655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3980831"/>
        <c:crosses val="autoZero"/>
        <c:auto val="1"/>
        <c:lblAlgn val="ctr"/>
        <c:lblOffset val="100"/>
        <c:noMultiLvlLbl val="0"/>
      </c:catAx>
      <c:valAx>
        <c:axId val="213980831"/>
        <c:scaling>
          <c:orientation val="minMax"/>
          <c:min val="50000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47655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[dashboard.xlsx]Tabelas_Dinâmicas!Tabela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</a:t>
            </a:r>
            <a:r>
              <a:rPr lang="en-US" sz="1600" b="1" baseline="0">
                <a:solidFill>
                  <a:schemeClr val="tx1"/>
                </a:solidFill>
              </a:rPr>
              <a:t> 10 Representantes de Vendas por Faturamento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03211464360735"/>
          <c:y val="0.17171296296296296"/>
          <c:w val="0.68249270805142814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Tabelas_Dinâmicas!$F$7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Tabelas_Dinâmicas!$E$8:$E$18</c:f>
              <c:strCache>
                <c:ptCount val="10"/>
                <c:pt idx="0">
                  <c:v>Maureen Marcano</c:v>
                </c:pt>
                <c:pt idx="1">
                  <c:v>Marty Freudenburg</c:v>
                </c:pt>
                <c:pt idx="2">
                  <c:v>Donn Cantrell</c:v>
                </c:pt>
                <c:pt idx="3">
                  <c:v>Elease Gluck</c:v>
                </c:pt>
                <c:pt idx="4">
                  <c:v>Cassey Cress</c:v>
                </c:pt>
                <c:pt idx="5">
                  <c:v>Hayden Neloms</c:v>
                </c:pt>
                <c:pt idx="6">
                  <c:v>Anna Snelling</c:v>
                </c:pt>
                <c:pt idx="7">
                  <c:v>Vicki Laflamme</c:v>
                </c:pt>
                <c:pt idx="8">
                  <c:v>James Ascencio</c:v>
                </c:pt>
                <c:pt idx="9">
                  <c:v>Darcel Schlecht</c:v>
                </c:pt>
              </c:strCache>
            </c:strRef>
          </c:cat>
          <c:val>
            <c:numRef>
              <c:f>Tabelas_Dinâmicas!$F$8:$F$18</c:f>
              <c:numCache>
                <c:formatCode>_-[$$-409]* #,##0.00_ ;_-[$$-409]* \-#,##0.00\ ;_-[$$-409]* "-"??_ ;_-@_ </c:formatCode>
                <c:ptCount val="10"/>
                <c:pt idx="0">
                  <c:v>244025</c:v>
                </c:pt>
                <c:pt idx="1">
                  <c:v>245137</c:v>
                </c:pt>
                <c:pt idx="2">
                  <c:v>249439</c:v>
                </c:pt>
                <c:pt idx="3">
                  <c:v>249846</c:v>
                </c:pt>
                <c:pt idx="4">
                  <c:v>270052</c:v>
                </c:pt>
                <c:pt idx="5">
                  <c:v>272111</c:v>
                </c:pt>
                <c:pt idx="6">
                  <c:v>275056</c:v>
                </c:pt>
                <c:pt idx="7">
                  <c:v>289370</c:v>
                </c:pt>
                <c:pt idx="8">
                  <c:v>315852</c:v>
                </c:pt>
                <c:pt idx="9">
                  <c:v>380085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0-4DA5-B132-651DA7B222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2689135"/>
        <c:axId val="1707908031"/>
      </c:barChart>
      <c:catAx>
        <c:axId val="170268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908031"/>
        <c:crosses val="autoZero"/>
        <c:auto val="1"/>
        <c:lblAlgn val="ctr"/>
        <c:lblOffset val="100"/>
        <c:noMultiLvlLbl val="0"/>
      </c:catAx>
      <c:valAx>
        <c:axId val="1707908031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170268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[dashboard.xlsx]Tabelas_Dinâmicas!Tabela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</a:t>
            </a:r>
            <a:r>
              <a:rPr lang="en-US" sz="1600" b="1" baseline="0">
                <a:solidFill>
                  <a:schemeClr val="tx1"/>
                </a:solidFill>
              </a:rPr>
              <a:t> Gerentes de Vendas por Faturamento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softEdge rad="0"/>
          </a:effectLst>
        </c:spPr>
        <c:marker>
          <c:symbol val="none"/>
        </c:marker>
        <c:dLbl>
          <c:idx val="0"/>
          <c:numFmt formatCode="&quot;R$&quot;\ #,##0.0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>
              <a:softEdge rad="12700"/>
            </a:effectLst>
          </c:spPr>
          <c:txPr>
            <a:bodyPr rot="0" spcFirstLastPara="1" vertOverflow="overflow" horzOverflow="overflow" vert="horz" wrap="square" lIns="36000" tIns="36000" rIns="36000" bIns="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softEdge rad="0"/>
          </a:effectLst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softEdge rad="0"/>
          </a:effectLst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softEdge rad="0"/>
          </a:effectLst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softEdge rad="0"/>
          </a:effectLst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softEdge rad="0"/>
          </a:effectLst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softEdge rad="0"/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Tabelas_Dinâmicas!$I$7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softEdge rad="0"/>
            </a:effectLst>
          </c:spPr>
          <c:dPt>
            <c:idx val="0"/>
            <c:bubble3D val="0"/>
            <c:explosion val="1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E181-4B23-ADA3-6C214CD97F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E181-4B23-ADA3-6C214CD97F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E181-4B23-ADA3-6C214CD97F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E181-4B23-ADA3-6C214CD97F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9-E181-4B23-ADA3-6C214CD97FF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E181-4B23-ADA3-6C214CD97FF7}"/>
              </c:ext>
            </c:extLst>
          </c:dPt>
          <c:dLbls>
            <c:numFmt formatCode="&quot;R$&quot;\ #,##0.0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>
                <a:softEdge rad="12700"/>
              </a:effectLst>
            </c:spPr>
            <c:txPr>
              <a:bodyPr rot="0" spcFirstLastPara="1" vertOverflow="overflow" horzOverflow="overflow" vert="horz" wrap="square" lIns="36000" tIns="36000" rIns="360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Tabelas_Dinâmicas!$H$8:$H$14</c:f>
              <c:strCache>
                <c:ptCount val="6"/>
                <c:pt idx="0">
                  <c:v>Cara Losch</c:v>
                </c:pt>
                <c:pt idx="1">
                  <c:v>Dustin Brinkmann</c:v>
                </c:pt>
                <c:pt idx="2">
                  <c:v>Rocco Neubert</c:v>
                </c:pt>
                <c:pt idx="3">
                  <c:v>Melvin Marxen</c:v>
                </c:pt>
                <c:pt idx="4">
                  <c:v>Summer Sewald</c:v>
                </c:pt>
                <c:pt idx="5">
                  <c:v>Celia Rouche</c:v>
                </c:pt>
              </c:strCache>
            </c:strRef>
          </c:cat>
          <c:val>
            <c:numRef>
              <c:f>Tabelas_Dinâmicas!$I$8:$I$14</c:f>
              <c:numCache>
                <c:formatCode>_-[$$-409]* #,##0.00_ ;_-[$$-409]* \-#,##0.00\ ;_-[$$-409]* "-"??_ ;_-@_ </c:formatCode>
                <c:ptCount val="6"/>
                <c:pt idx="0">
                  <c:v>694695</c:v>
                </c:pt>
                <c:pt idx="1">
                  <c:v>1094363</c:v>
                </c:pt>
                <c:pt idx="2">
                  <c:v>1110252</c:v>
                </c:pt>
                <c:pt idx="3">
                  <c:v>1147821</c:v>
                </c:pt>
                <c:pt idx="4">
                  <c:v>1188039</c:v>
                </c:pt>
                <c:pt idx="5">
                  <c:v>1259786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81-4B23-ADA3-6C214CD97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381010177016507"/>
          <c:y val="0.18413316758072715"/>
          <c:w val="0.34307514187429833"/>
          <c:h val="0.65341647679978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19050</xdr:rowOff>
    </xdr:from>
    <xdr:to>
      <xdr:col>13</xdr:col>
      <xdr:colOff>400050</xdr:colOff>
      <xdr:row>29</xdr:row>
      <xdr:rowOff>19050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7053F85-3F7B-942A-7B39-F9212FA754FD}"/>
            </a:ext>
          </a:extLst>
        </xdr:cNvPr>
        <xdr:cNvSpPr/>
      </xdr:nvSpPr>
      <xdr:spPr>
        <a:xfrm>
          <a:off x="619125" y="1162050"/>
          <a:ext cx="7705725" cy="438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Análise</a:t>
          </a:r>
          <a:r>
            <a:rPr lang="pt-BR" sz="20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de Performance de Vendas - CRM Sales Opportunities (2017)</a:t>
          </a:r>
        </a:p>
        <a:p>
          <a:pPr algn="l"/>
          <a:endParaRPr lang="pt-BR" sz="1600" b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6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Analista Responsável</a:t>
          </a:r>
          <a:r>
            <a:rPr lang="pt-BR" sz="16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pt-BR" sz="16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6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Rodrigo Oliveira</a:t>
          </a:r>
        </a:p>
        <a:p>
          <a:pPr algn="l"/>
          <a:r>
            <a:rPr lang="pt-BR" sz="16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Ferramentas Utilizadas</a:t>
          </a:r>
          <a:r>
            <a:rPr lang="pt-BR" sz="16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: PostgreSQL  |  Python (Jupyter Notebook)  |  Excel  |  Power Query</a:t>
          </a:r>
        </a:p>
        <a:p>
          <a:pPr algn="l"/>
          <a:r>
            <a:rPr lang="pt-BR" sz="16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Fonte de Dados</a:t>
          </a:r>
          <a:r>
            <a:rPr lang="pt-BR" sz="16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: Maven Analytics (CSV Público)</a:t>
          </a:r>
        </a:p>
        <a:p>
          <a:pPr algn="l"/>
          <a:endParaRPr lang="pt-BR" sz="16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6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Resumo dos Principais Insights</a:t>
          </a:r>
          <a:r>
            <a:rPr lang="pt-BR" sz="16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: </a:t>
          </a:r>
        </a:p>
        <a:p>
          <a:pPr algn="l"/>
          <a:endParaRPr lang="pt-BR" sz="16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• O produto GTX Plus Pro é o que mais trouxe faturamento (US$ 2.629.651,00) pois é o segundo produto mais caro (US$ 5.482), porém o GTX Basic foi o que mais vendeu em quantidade, com 1436 produtos vendidos, e talvez seja pelo seu preço ser o penúltimo mais barato, custando US$ 550, e por isso na ordem de faturamento ficou em 4° lugar, com US$ 499.263,00 em vendas.</a:t>
          </a:r>
        </a:p>
        <a:p>
          <a:pPr algn="l"/>
          <a:endParaRPr lang="pt-BR" sz="12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• Kan-code é a empresa que mais adquire produtos, já somados US$ 217.560,00.</a:t>
          </a:r>
        </a:p>
        <a:p>
          <a:pPr algn="l"/>
          <a:endParaRPr lang="pt-BR" sz="12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• Estados Unidos liderou com folga em compras de hardwares, gastando US$ 5.519.293,00, Em segundo a Coréia gastando US$ 124.574,00. A diferença de uma pra outra é muito grande, quase 50 vezes mais que os EUA adquire.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5</xdr:row>
      <xdr:rowOff>9524</xdr:rowOff>
    </xdr:from>
    <xdr:to>
      <xdr:col>9</xdr:col>
      <xdr:colOff>609599</xdr:colOff>
      <xdr:row>14</xdr:row>
      <xdr:rowOff>171449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4E73BB7-C9A5-5B68-5A15-B1C554C166B9}"/>
            </a:ext>
          </a:extLst>
        </xdr:cNvPr>
        <xdr:cNvSpPr/>
      </xdr:nvSpPr>
      <xdr:spPr>
        <a:xfrm>
          <a:off x="342900" y="962024"/>
          <a:ext cx="5753099" cy="1876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• A representante de vendas que vende mais rápido é a Rosie Papadopoulos, com uma média de 41 dias pra fechar negócio. Ela não aparece nem no top 10 quantidades vendidas, nem no top 10 faturamento.</a:t>
          </a:r>
        </a:p>
        <a:p>
          <a:pPr algn="l"/>
          <a:endParaRPr lang="pt-BR" sz="11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pt-BR" sz="1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• Anna Snelling é a representante que mais vendeu em quantidade totalizando 208 vendas. Em faturamento geral ela ficou em 4° lugar, com de US$ 275.056,00.</a:t>
          </a:r>
        </a:p>
        <a:p>
          <a:pPr algn="l"/>
          <a:endParaRPr lang="pt-BR" sz="1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• O escritório da região Oeste é o que mais fatura, vendendo US$ 2.447.825,00.</a:t>
          </a:r>
          <a:r>
            <a:rPr lang="pt-BR" sz="1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A gerente de vendas que trabalha nesse escritório é a Celia Rouche, que tem a melhor equipe em faturamento.</a:t>
          </a:r>
        </a:p>
        <a:p>
          <a:pPr algn="l"/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342900</xdr:colOff>
      <xdr:row>15</xdr:row>
      <xdr:rowOff>114300</xdr:rowOff>
    </xdr:from>
    <xdr:to>
      <xdr:col>10</xdr:col>
      <xdr:colOff>0</xdr:colOff>
      <xdr:row>30</xdr:row>
      <xdr:rowOff>95249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40175F68-F92D-27F8-D8C3-F5DA7996E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276224</xdr:colOff>
      <xdr:row>5</xdr:row>
      <xdr:rowOff>4763</xdr:rowOff>
    </xdr:from>
    <xdr:to>
      <xdr:col>19</xdr:col>
      <xdr:colOff>609599</xdr:colOff>
      <xdr:row>17</xdr:row>
      <xdr:rowOff>76200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B1F99F0A-00A4-24E2-C195-BA902808A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276225</xdr:colOff>
      <xdr:row>17</xdr:row>
      <xdr:rowOff>185737</xdr:rowOff>
    </xdr:from>
    <xdr:to>
      <xdr:col>19</xdr:col>
      <xdr:colOff>600074</xdr:colOff>
      <xdr:row>30</xdr:row>
      <xdr:rowOff>85237</xdr:rowOff>
    </xdr:to>
    <xdr:graphicFrame macro="">
      <xdr:nvGraphicFramePr>
        <xdr:cNvPr id="7" name="Gráfico 4">
          <a:extLst>
            <a:ext uri="{FF2B5EF4-FFF2-40B4-BE49-F238E27FC236}">
              <a16:creationId xmlns:a16="http://schemas.microsoft.com/office/drawing/2014/main" id="{14552AAD-59CF-7035-3798-3D11E9026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216.467080208335" createdVersion="8" refreshedVersion="8" minRefreshableVersion="3" recordCount="6" xr:uid="{B9257663-3E56-48C0-8099-840BD703B3B2}">
  <cacheSource type="worksheet">
    <worksheetSource name="top10_gerente_vendas_faturamento_05"/>
  </cacheSource>
  <cacheFields count="2">
    <cacheField name="gerente_de_vendas" numFmtId="0">
      <sharedItems count="6">
        <s v="Celia Rouche"/>
        <s v="Summer Sewald"/>
        <s v="Melvin Marxen"/>
        <s v="Rocco Neubert"/>
        <s v="Dustin Brinkmann"/>
        <s v="Cara Losch"/>
      </sharedItems>
    </cacheField>
    <cacheField name="faturamento" numFmtId="164">
      <sharedItems containsSemiMixedTypes="0" containsString="0" containsNumber="1" containsInteger="1" minValue="694695" maxValue="12597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216.521704629631" createdVersion="8" refreshedVersion="8" minRefreshableVersion="3" recordCount="10" xr:uid="{C9C360B3-EEA2-4C01-9982-7B33C1E4E8BB}">
  <cacheSource type="worksheet">
    <worksheetSource name="faturamento_geral_01"/>
  </cacheSource>
  <cacheFields count="4">
    <cacheField name="data_fechamento" numFmtId="14">
      <sharedItems containsSemiMixedTypes="0" containsNonDate="0" containsDate="1" containsString="0" minDate="2017-03-01T00:00:00" maxDate="2017-12-02T00:00:00" count="10"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</sharedItems>
      <fieldGroup par="3"/>
    </cacheField>
    <cacheField name="faturamento" numFmtId="164">
      <sharedItems containsSemiMixedTypes="0" containsString="0" containsNumber="1" containsInteger="1" minValue="443197" maxValue="884971"/>
    </cacheField>
    <cacheField name="Dias (data_fechamento)" numFmtId="0" databaseField="0">
      <fieldGroup base="0">
        <rangePr groupBy="days" startDate="2017-03-01T00:00:00" endDate="2017-12-02T00:00:00"/>
        <groupItems count="368">
          <s v="&lt;01/03/2017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17"/>
        </groupItems>
      </fieldGroup>
    </cacheField>
    <cacheField name="Meses (data_fechamento)" numFmtId="0" databaseField="0">
      <fieldGroup base="0">
        <rangePr groupBy="months" startDate="2017-03-01T00:00:00" endDate="2017-12-02T00:00:00"/>
        <groupItems count="14">
          <s v="&lt;01/03/2017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216.545716435183" createdVersion="8" refreshedVersion="8" minRefreshableVersion="3" recordCount="10" xr:uid="{AB968978-7DA4-4BD7-865E-F29F4823C8A1}">
  <cacheSource type="worksheet">
    <worksheetSource name="top10_representante_vendas_faturamento_04"/>
  </cacheSource>
  <cacheFields count="2">
    <cacheField name="representante_de_vendas" numFmtId="0">
      <sharedItems count="10">
        <s v="Darcel Schlecht"/>
        <s v="James Ascencio"/>
        <s v="Vicki Laflamme"/>
        <s v="Anna Snelling"/>
        <s v="Hayden Neloms"/>
        <s v="Cassey Cress"/>
        <s v="Elease Gluck"/>
        <s v="Donn Cantrell"/>
        <s v="Marty Freudenburg"/>
        <s v="Maureen Marcano"/>
      </sharedItems>
    </cacheField>
    <cacheField name="faturamento" numFmtId="164">
      <sharedItems containsSemiMixedTypes="0" containsString="0" containsNumber="1" containsInteger="1" minValue="244025" maxValue="3800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259786"/>
  </r>
  <r>
    <x v="1"/>
    <n v="1188039"/>
  </r>
  <r>
    <x v="2"/>
    <n v="1147821"/>
  </r>
  <r>
    <x v="3"/>
    <n v="1110252"/>
  </r>
  <r>
    <x v="4"/>
    <n v="1094363"/>
  </r>
  <r>
    <x v="5"/>
    <n v="6946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757706"/>
  </r>
  <r>
    <x v="1"/>
    <n v="449481"/>
  </r>
  <r>
    <x v="2"/>
    <n v="673137"/>
  </r>
  <r>
    <x v="3"/>
    <n v="884971"/>
  </r>
  <r>
    <x v="4"/>
    <n v="443197"/>
  </r>
  <r>
    <x v="5"/>
    <n v="696390"/>
  </r>
  <r>
    <x v="6"/>
    <n v="746069"/>
  </r>
  <r>
    <x v="7"/>
    <n v="466965"/>
  </r>
  <r>
    <x v="8"/>
    <n v="622472"/>
  </r>
  <r>
    <x v="9"/>
    <n v="75456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80085"/>
  </r>
  <r>
    <x v="1"/>
    <n v="315852"/>
  </r>
  <r>
    <x v="2"/>
    <n v="289370"/>
  </r>
  <r>
    <x v="3"/>
    <n v="275056"/>
  </r>
  <r>
    <x v="4"/>
    <n v="272111"/>
  </r>
  <r>
    <x v="5"/>
    <n v="270052"/>
  </r>
  <r>
    <x v="6"/>
    <n v="249846"/>
  </r>
  <r>
    <x v="7"/>
    <n v="249439"/>
  </r>
  <r>
    <x v="8"/>
    <n v="245137"/>
  </r>
  <r>
    <x v="9"/>
    <n v="244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84183-5C52-43D0-A329-5CF1519C841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H7:I14" firstHeaderRow="1" firstDataRow="1" firstDataCol="1"/>
  <pivotFields count="2">
    <pivotField axis="axisRow" showAll="0" sortType="ascending">
      <items count="7">
        <item x="5"/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0"/>
  </rowFields>
  <rowItems count="7">
    <i>
      <x/>
    </i>
    <i>
      <x v="2"/>
    </i>
    <i>
      <x v="4"/>
    </i>
    <i>
      <x v="3"/>
    </i>
    <i>
      <x v="5"/>
    </i>
    <i>
      <x v="1"/>
    </i>
    <i t="grand">
      <x/>
    </i>
  </rowItems>
  <colItems count="1">
    <i/>
  </colItems>
  <dataFields count="1">
    <dataField name="Soma de faturamento" fld="1" baseField="0" baseItem="0" numFmtId="164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AC0D1-5D6B-4330-8F7B-D420B692886B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E7:F18" firstHeaderRow="1" firstDataRow="1" firstDataCol="1"/>
  <pivotFields count="2">
    <pivotField axis="axisRow" showAll="0" sortType="ascending">
      <items count="11">
        <item x="3"/>
        <item x="5"/>
        <item x="0"/>
        <item x="7"/>
        <item x="6"/>
        <item x="4"/>
        <item x="1"/>
        <item x="8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0"/>
  </rowFields>
  <rowItems count="11">
    <i>
      <x v="8"/>
    </i>
    <i>
      <x v="7"/>
    </i>
    <i>
      <x v="3"/>
    </i>
    <i>
      <x v="4"/>
    </i>
    <i>
      <x v="1"/>
    </i>
    <i>
      <x v="5"/>
    </i>
    <i>
      <x/>
    </i>
    <i>
      <x v="9"/>
    </i>
    <i>
      <x v="6"/>
    </i>
    <i>
      <x v="2"/>
    </i>
    <i t="grand">
      <x/>
    </i>
  </rowItems>
  <colItems count="1">
    <i/>
  </colItems>
  <dataFields count="1">
    <dataField name="Soma de faturamento" fld="1" baseField="0" baseItem="0" numFmtId="16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B3743-6579-44EF-A8BA-D4441D54D170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7:C18" firstHeaderRow="1" firstDataRow="1" firstDataCol="1"/>
  <pivotFields count="4"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faturamento" fld="1" baseField="0" baseItem="0" numFmtId="164"/>
  </dataFields>
  <formats count="1">
    <format dxfId="0">
      <pivotArea dataOnly="0" labelOnly="1" fieldPosition="0">
        <references count="1">
          <reference field="0" count="0"/>
        </references>
      </pivotArea>
    </format>
  </format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6B130AE-B9B8-43F3-B8B1-358BB2B1039B}" autoFormatId="16" applyNumberFormats="0" applyBorderFormats="0" applyFontFormats="0" applyPatternFormats="0" applyAlignmentFormats="0" applyWidthHeightFormats="0">
  <queryTableRefresh nextId="3">
    <queryTableFields count="2">
      <queryTableField id="1" name="data_fechamento" tableColumnId="1"/>
      <queryTableField id="2" name="faturament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8708D981-D702-4FF4-9F77-89C73BA7A08F}" autoFormatId="16" applyNumberFormats="0" applyBorderFormats="0" applyFontFormats="0" applyPatternFormats="0" applyAlignmentFormats="0" applyWidthHeightFormats="0">
  <queryTableRefresh nextId="5">
    <queryTableFields count="2">
      <queryTableField id="1" name="empresa" tableColumnId="1"/>
      <queryTableField id="2" name="faturament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06AB6D99-438F-4B43-A9FA-7A939A68E283}" autoFormatId="16" applyNumberFormats="0" applyBorderFormats="0" applyFontFormats="0" applyPatternFormats="0" applyAlignmentFormats="0" applyWidthHeightFormats="0">
  <queryTableRefresh nextId="3">
    <queryTableFields count="2">
      <queryTableField id="1" name="sede_da_empresa" tableColumnId="1"/>
      <queryTableField id="2" name="faturamento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6E4E4C08-3912-476B-B2B4-7597AA526A24}" autoFormatId="16" applyNumberFormats="0" applyBorderFormats="0" applyFontFormats="0" applyPatternFormats="0" applyAlignmentFormats="0" applyWidthHeightFormats="0">
  <queryTableRefresh nextId="3">
    <queryTableFields count="2">
      <queryTableField id="1" name="representante_de_vendas" tableColumnId="1"/>
      <queryTableField id="2" name="faturamento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B66A8C82-A4EF-41ED-90A3-8CD2D4D9780C}" autoFormatId="16" applyNumberFormats="0" applyBorderFormats="0" applyFontFormats="0" applyPatternFormats="0" applyAlignmentFormats="0" applyWidthHeightFormats="0">
  <queryTableRefresh nextId="3">
    <queryTableFields count="2">
      <queryTableField id="1" name="gerente_de_vendas" tableColumnId="1"/>
      <queryTableField id="2" name="faturament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6" xr16:uid="{52DA84DF-92E7-4A62-80D8-F74EEF4BAA2E}" autoFormatId="16" applyNumberFormats="0" applyBorderFormats="0" applyFontFormats="0" applyPatternFormats="0" applyAlignmentFormats="0" applyWidthHeightFormats="0">
  <queryTableRefresh nextId="5">
    <queryTableFields count="2">
      <queryTableField id="1" name="escritorio_regional" tableColumnId="1"/>
      <queryTableField id="4" name="faturamento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7" xr16:uid="{236E4C69-92A2-48B9-BB37-CDDEABEECDFA}" autoFormatId="16" applyNumberFormats="0" applyBorderFormats="0" applyFontFormats="0" applyPatternFormats="0" applyAlignmentFormats="0" applyWidthHeightFormats="0">
  <queryTableRefresh nextId="3">
    <queryTableFields count="2">
      <queryTableField id="1" name="representante_de_vendas" tableColumnId="1"/>
      <queryTableField id="2" name="quantidade_de_venda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connectionId="8" xr16:uid="{D2FBCD2D-69EE-4F02-8F24-C73B1FDB2B93}" autoFormatId="16" applyNumberFormats="0" applyBorderFormats="0" applyFontFormats="0" applyPatternFormats="0" applyAlignmentFormats="0" applyWidthHeightFormats="0">
  <queryTableRefresh nextId="3">
    <queryTableFields count="2">
      <queryTableField id="1" name="representante_de_vendas" tableColumnId="1"/>
      <queryTableField id="2" name="media_de_dia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9" connectionId="9" xr16:uid="{84F41C2C-9A6E-43E9-90F7-3CA4A701865D}" autoFormatId="16" applyNumberFormats="0" applyBorderFormats="0" applyFontFormats="0" applyPatternFormats="0" applyAlignmentFormats="0" applyWidthHeightFormats="0">
  <queryTableRefresh nextId="5">
    <queryTableFields count="4">
      <queryTableField id="1" name="produtos" tableColumnId="1"/>
      <queryTableField id="2" name="preco" tableColumnId="2"/>
      <queryTableField id="3" name="faturamento" tableColumnId="3"/>
      <queryTableField id="4" name="quantidade_vendid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BE74E-CC01-433E-A7F2-715DCD7DFA55}" name="faturamento_geral_01" displayName="faturamento_geral_01" ref="B7:C17" tableType="queryTable" totalsRowShown="0">
  <autoFilter ref="B7:C17" xr:uid="{4A6BE74E-CC01-433E-A7F2-715DCD7DFA55}"/>
  <tableColumns count="2">
    <tableColumn id="1" xr3:uid="{0189B6A9-1154-4C16-90BC-BB07BF65C594}" uniqueName="1" name="data_fechamento" queryTableFieldId="1" dataDxfId="16"/>
    <tableColumn id="2" xr3:uid="{37E0F156-4863-493C-AA2B-BA1B10BA8D38}" uniqueName="2" name="faturamento" queryTableFieldId="2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12F447-DA76-4AA9-BE0C-AFE8D4EB2678}" name="faturamento_empresa_02" displayName="faturamento_empresa_02" ref="E7:F17" tableType="queryTable" totalsRowShown="0">
  <autoFilter ref="E7:F17" xr:uid="{9412F447-DA76-4AA9-BE0C-AFE8D4EB2678}"/>
  <tableColumns count="2">
    <tableColumn id="1" xr3:uid="{265CF180-E4FC-4848-AD1A-CA0C75F64DFE}" uniqueName="1" name="empresa" queryTableFieldId="1" dataDxfId="14"/>
    <tableColumn id="2" xr3:uid="{64852E23-B9B2-493A-9747-28108BB0E3E0}" uniqueName="2" name="faturamento" queryTableFieldId="2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BAB7A5-5F82-4661-B24D-605088BDC53C}" name="sede_mais_compra_03" displayName="sede_mais_compra_03" ref="H7:I12" tableType="queryTable" totalsRowShown="0">
  <autoFilter ref="H7:I12" xr:uid="{48BAB7A5-5F82-4661-B24D-605088BDC53C}"/>
  <tableColumns count="2">
    <tableColumn id="1" xr3:uid="{F9707A67-EE1E-4BB4-8524-A314B1E2FF41}" uniqueName="1" name="sede_da_empresa" queryTableFieldId="1" dataDxfId="12"/>
    <tableColumn id="2" xr3:uid="{4EAEFE06-2872-4C5C-8317-11B84A179B38}" uniqueName="2" name="faturamento" queryTableFieldId="2" dataDxfId="1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1952D7-172D-4B81-B7C2-E52ACE2F7350}" name="top10_representante_vendas_faturamento_04" displayName="top10_representante_vendas_faturamento_04" ref="G29:H39" tableType="queryTable" totalsRowShown="0">
  <autoFilter ref="G29:H39" xr:uid="{C31952D7-172D-4B81-B7C2-E52ACE2F7350}"/>
  <tableColumns count="2">
    <tableColumn id="1" xr3:uid="{7F3E26D2-B3A0-4D4D-942F-A785A2131666}" uniqueName="1" name="representante_de_vendas" queryTableFieldId="1" dataDxfId="10"/>
    <tableColumn id="2" xr3:uid="{AFA52454-45DD-4105-B238-F44F160A44FF}" uniqueName="2" name="faturamento" queryTableFieldId="2" dataDxfId="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3DFFBC-9F24-4337-810A-BEC00DA64656}" name="top10_gerente_vendas_faturamento_05" displayName="top10_gerente_vendas_faturamento_05" ref="B20:C26" tableType="queryTable" totalsRowShown="0">
  <autoFilter ref="B20:C26" xr:uid="{CD3DFFBC-9F24-4337-810A-BEC00DA64656}"/>
  <tableColumns count="2">
    <tableColumn id="1" xr3:uid="{77991FD9-4EAF-464E-991E-2B69F3517920}" uniqueName="1" name="gerente_de_vendas" queryTableFieldId="1" dataDxfId="8"/>
    <tableColumn id="2" xr3:uid="{2C934110-0D31-4921-91B3-37A11E61466C}" uniqueName="2" name="faturamento" queryTableFieldId="2" dataDxfId="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40295E-BC1E-46AF-A0FB-7853E34E5DE9}" name="escritorio_regional_vendas_06" displayName="escritorio_regional_vendas_06" ref="E20:F23" tableType="queryTable" totalsRowShown="0">
  <autoFilter ref="E20:F23" xr:uid="{0840295E-BC1E-46AF-A0FB-7853E34E5DE9}"/>
  <tableColumns count="2">
    <tableColumn id="1" xr3:uid="{88D2C406-49B8-49F5-89A7-85E48FF4D262}" uniqueName="1" name="escritorio_regional" queryTableFieldId="1" dataDxfId="6"/>
    <tableColumn id="4" xr3:uid="{E48554E6-8123-416A-A8B7-69CFB75FD1DC}" uniqueName="4" name="faturamento" queryTableFieldId="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F8EC0B-AD19-4F22-8FE2-F90B74F76EA2}" name="top10_representante_vendas_quantidade_07" displayName="top10_representante_vendas_quantidade_07" ref="H15:I25" tableType="queryTable" totalsRowShown="0">
  <autoFilter ref="H15:I25" xr:uid="{8CF8EC0B-AD19-4F22-8FE2-F90B74F76EA2}"/>
  <tableColumns count="2">
    <tableColumn id="1" xr3:uid="{7D39EC82-29B4-40E0-B84D-E3F5C3334688}" uniqueName="1" name="representante_de_vendas" queryTableFieldId="1" dataDxfId="5"/>
    <tableColumn id="2" xr3:uid="{0B020A56-5630-4A03-B796-1BFD3A21B82E}" uniqueName="2" name="quantidade_de_vendas" queryTableFieldId="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56C04E-5B3B-42A2-906F-A23615079022}" name="top10_representante_vendas_velocidade_08" displayName="top10_representante_vendas_velocidade_08" ref="B38:C48" tableType="queryTable" totalsRowShown="0">
  <autoFilter ref="B38:C48" xr:uid="{4856C04E-5B3B-42A2-906F-A23615079022}"/>
  <tableColumns count="2">
    <tableColumn id="1" xr3:uid="{CB452B81-4DC3-4341-9DE3-3BFECC142BE6}" uniqueName="1" name="representante_de_vendas" queryTableFieldId="1" dataDxfId="4"/>
    <tableColumn id="2" xr3:uid="{BB7113D6-45B2-4AAE-88D7-B05C968AB5A7}" uniqueName="2" name="media_de_dias" queryTableFieldId="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F05F99-0708-4735-B057-8CC34DB52296}" name="produto_mais_vendido_09" displayName="produto_mais_vendido_09" ref="B29:E35" tableType="queryTable" totalsRowShown="0">
  <autoFilter ref="B29:E35" xr:uid="{4AF05F99-0708-4735-B057-8CC34DB52296}"/>
  <tableColumns count="4">
    <tableColumn id="1" xr3:uid="{3C879DDC-AFB4-488D-B244-FEFED49CCF60}" uniqueName="1" name="produtos" queryTableFieldId="1" dataDxfId="3"/>
    <tableColumn id="2" xr3:uid="{A27DC1AF-AA0E-48BD-AFAA-16E5E8C7DBA9}" uniqueName="2" name="preco" queryTableFieldId="2" dataDxfId="2"/>
    <tableColumn id="3" xr3:uid="{E587CF33-2B79-493D-B9C3-B941B806EB63}" uniqueName="3" name="faturamento" queryTableFieldId="3" dataDxfId="1"/>
    <tableColumn id="4" xr3:uid="{7052809C-820C-4C9B-97F4-1518BECDD504}" uniqueName="4" name="quantidade_vendida" queryTableField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E781-4E78-46C4-8E86-495E6BE5600F}">
  <dimension ref="A1:Z3"/>
  <sheetViews>
    <sheetView showGridLines="0" showRowColHeaders="0" tabSelected="1" topLeftCell="A6" workbookViewId="0">
      <selection activeCell="L56" sqref="L56"/>
    </sheetView>
  </sheetViews>
  <sheetFormatPr defaultRowHeight="15" x14ac:dyDescent="0.25"/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09D3-C113-4F7F-B0B0-3120A18D066C}">
  <dimension ref="A1:AB48"/>
  <sheetViews>
    <sheetView showGridLines="0" showRowColHeaders="0" workbookViewId="0">
      <selection activeCell="D53" sqref="D53"/>
    </sheetView>
  </sheetViews>
  <sheetFormatPr defaultRowHeight="15" x14ac:dyDescent="0.25"/>
  <cols>
    <col min="2" max="2" width="27" bestFit="1" customWidth="1"/>
    <col min="3" max="3" width="16.7109375" bestFit="1" customWidth="1"/>
    <col min="4" max="4" width="14.42578125" bestFit="1" customWidth="1"/>
    <col min="5" max="5" width="21.7109375" bestFit="1" customWidth="1"/>
    <col min="6" max="6" width="14.42578125" bestFit="1" customWidth="1"/>
    <col min="7" max="8" width="27" bestFit="1" customWidth="1"/>
    <col min="9" max="9" width="24.28515625" bestFit="1" customWidth="1"/>
    <col min="10" max="10" width="27" bestFit="1" customWidth="1"/>
    <col min="11" max="12" width="16.7109375" bestFit="1" customWidth="1"/>
    <col min="13" max="13" width="27" bestFit="1" customWidth="1"/>
    <col min="14" max="14" width="14.42578125" bestFit="1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7" spans="1:28" x14ac:dyDescent="0.25">
      <c r="B7" t="s">
        <v>0</v>
      </c>
      <c r="C7" t="s">
        <v>1</v>
      </c>
      <c r="E7" t="s">
        <v>2</v>
      </c>
      <c r="F7" t="s">
        <v>1</v>
      </c>
      <c r="H7" t="s">
        <v>13</v>
      </c>
      <c r="I7" t="s">
        <v>1</v>
      </c>
    </row>
    <row r="8" spans="1:28" x14ac:dyDescent="0.25">
      <c r="B8" s="4">
        <v>42795</v>
      </c>
      <c r="C8" s="5">
        <v>757706</v>
      </c>
      <c r="E8" t="s">
        <v>3</v>
      </c>
      <c r="F8" s="3">
        <v>217560</v>
      </c>
      <c r="H8" t="s">
        <v>14</v>
      </c>
      <c r="I8" s="3">
        <v>5519293</v>
      </c>
    </row>
    <row r="9" spans="1:28" x14ac:dyDescent="0.25">
      <c r="B9" s="4">
        <v>42826</v>
      </c>
      <c r="C9" s="5">
        <v>449481</v>
      </c>
      <c r="E9" t="s">
        <v>4</v>
      </c>
      <c r="F9" s="3">
        <v>179555</v>
      </c>
      <c r="H9" t="s">
        <v>15</v>
      </c>
      <c r="I9" s="3">
        <v>124574</v>
      </c>
    </row>
    <row r="10" spans="1:28" x14ac:dyDescent="0.25">
      <c r="B10" s="4">
        <v>42856</v>
      </c>
      <c r="C10" s="5">
        <v>673137</v>
      </c>
      <c r="E10" t="s">
        <v>5</v>
      </c>
      <c r="F10" s="3">
        <v>168140</v>
      </c>
      <c r="H10" t="s">
        <v>16</v>
      </c>
      <c r="I10" s="3">
        <v>112675</v>
      </c>
    </row>
    <row r="11" spans="1:28" x14ac:dyDescent="0.25">
      <c r="B11" s="4">
        <v>42887</v>
      </c>
      <c r="C11" s="5">
        <v>884971</v>
      </c>
      <c r="E11" t="s">
        <v>6</v>
      </c>
      <c r="F11" s="3">
        <v>139457</v>
      </c>
      <c r="H11" t="s">
        <v>17</v>
      </c>
      <c r="I11" s="3">
        <v>85608</v>
      </c>
    </row>
    <row r="12" spans="1:28" x14ac:dyDescent="0.25">
      <c r="B12" s="4">
        <v>42917</v>
      </c>
      <c r="C12" s="5">
        <v>443197</v>
      </c>
      <c r="E12" t="s">
        <v>7</v>
      </c>
      <c r="F12" s="3">
        <v>133344</v>
      </c>
      <c r="H12" t="s">
        <v>18</v>
      </c>
      <c r="I12" s="3">
        <v>83547</v>
      </c>
    </row>
    <row r="13" spans="1:28" x14ac:dyDescent="0.25">
      <c r="B13" s="4">
        <v>42948</v>
      </c>
      <c r="C13" s="5">
        <v>696390</v>
      </c>
      <c r="E13" t="s">
        <v>8</v>
      </c>
      <c r="F13" s="3">
        <v>124574</v>
      </c>
    </row>
    <row r="14" spans="1:28" x14ac:dyDescent="0.25">
      <c r="B14" s="4">
        <v>42979</v>
      </c>
      <c r="C14" s="5">
        <v>746069</v>
      </c>
      <c r="E14" t="s">
        <v>9</v>
      </c>
      <c r="F14" s="3">
        <v>123242</v>
      </c>
    </row>
    <row r="15" spans="1:28" x14ac:dyDescent="0.25">
      <c r="B15" s="4">
        <v>43009</v>
      </c>
      <c r="C15" s="5">
        <v>466965</v>
      </c>
      <c r="E15" t="s">
        <v>10</v>
      </c>
      <c r="F15" s="3">
        <v>117329</v>
      </c>
      <c r="H15" t="s">
        <v>19</v>
      </c>
      <c r="I15" t="s">
        <v>41</v>
      </c>
    </row>
    <row r="16" spans="1:28" x14ac:dyDescent="0.25">
      <c r="B16" s="4">
        <v>43040</v>
      </c>
      <c r="C16" s="5">
        <v>622472</v>
      </c>
      <c r="E16" t="s">
        <v>11</v>
      </c>
      <c r="F16" s="3">
        <v>114252</v>
      </c>
      <c r="H16" t="s">
        <v>23</v>
      </c>
      <c r="I16">
        <v>208</v>
      </c>
    </row>
    <row r="17" spans="2:9" x14ac:dyDescent="0.25">
      <c r="B17" s="4">
        <v>43070</v>
      </c>
      <c r="C17" s="5">
        <v>754568</v>
      </c>
      <c r="E17" t="s">
        <v>12</v>
      </c>
      <c r="F17" s="3">
        <v>112675</v>
      </c>
      <c r="H17" t="s">
        <v>20</v>
      </c>
      <c r="I17">
        <v>189</v>
      </c>
    </row>
    <row r="18" spans="2:9" x14ac:dyDescent="0.25">
      <c r="H18" t="s">
        <v>22</v>
      </c>
      <c r="I18">
        <v>181</v>
      </c>
    </row>
    <row r="19" spans="2:9" x14ac:dyDescent="0.25">
      <c r="H19" t="s">
        <v>42</v>
      </c>
      <c r="I19">
        <v>176</v>
      </c>
    </row>
    <row r="20" spans="2:9" x14ac:dyDescent="0.25">
      <c r="B20" t="s">
        <v>30</v>
      </c>
      <c r="C20" t="s">
        <v>1</v>
      </c>
      <c r="E20" t="s">
        <v>37</v>
      </c>
      <c r="F20" t="s">
        <v>1</v>
      </c>
      <c r="H20" t="s">
        <v>43</v>
      </c>
      <c r="I20">
        <v>159</v>
      </c>
    </row>
    <row r="21" spans="2:9" x14ac:dyDescent="0.25">
      <c r="B21" t="s">
        <v>31</v>
      </c>
      <c r="C21" s="3">
        <v>1259786</v>
      </c>
      <c r="E21" t="s">
        <v>38</v>
      </c>
      <c r="F21">
        <v>2447825</v>
      </c>
      <c r="H21" t="s">
        <v>44</v>
      </c>
      <c r="I21">
        <v>151</v>
      </c>
    </row>
    <row r="22" spans="2:9" x14ac:dyDescent="0.25">
      <c r="B22" t="s">
        <v>32</v>
      </c>
      <c r="C22" s="3">
        <v>1188039</v>
      </c>
      <c r="E22" t="s">
        <v>39</v>
      </c>
      <c r="F22">
        <v>2242184</v>
      </c>
      <c r="H22" t="s">
        <v>45</v>
      </c>
      <c r="I22">
        <v>140</v>
      </c>
    </row>
    <row r="23" spans="2:9" x14ac:dyDescent="0.25">
      <c r="B23" t="s">
        <v>33</v>
      </c>
      <c r="C23" s="3">
        <v>1147821</v>
      </c>
      <c r="E23" t="s">
        <v>40</v>
      </c>
      <c r="F23">
        <v>1804947</v>
      </c>
      <c r="H23" t="s">
        <v>46</v>
      </c>
      <c r="I23">
        <v>129</v>
      </c>
    </row>
    <row r="24" spans="2:9" x14ac:dyDescent="0.25">
      <c r="B24" t="s">
        <v>34</v>
      </c>
      <c r="C24" s="3">
        <v>1110252</v>
      </c>
      <c r="H24" t="s">
        <v>47</v>
      </c>
      <c r="I24">
        <v>127</v>
      </c>
    </row>
    <row r="25" spans="2:9" x14ac:dyDescent="0.25">
      <c r="B25" t="s">
        <v>35</v>
      </c>
      <c r="C25" s="3">
        <v>1094363</v>
      </c>
      <c r="H25" t="s">
        <v>29</v>
      </c>
      <c r="I25">
        <v>126</v>
      </c>
    </row>
    <row r="26" spans="2:9" x14ac:dyDescent="0.25">
      <c r="B26" t="s">
        <v>36</v>
      </c>
      <c r="C26" s="3">
        <v>694695</v>
      </c>
    </row>
    <row r="29" spans="2:9" x14ac:dyDescent="0.25">
      <c r="B29" t="s">
        <v>54</v>
      </c>
      <c r="C29" t="s">
        <v>55</v>
      </c>
      <c r="D29" t="s">
        <v>1</v>
      </c>
      <c r="E29" t="s">
        <v>56</v>
      </c>
      <c r="G29" t="s">
        <v>19</v>
      </c>
      <c r="H29" t="s">
        <v>1</v>
      </c>
    </row>
    <row r="30" spans="2:9" x14ac:dyDescent="0.25">
      <c r="B30" t="s">
        <v>57</v>
      </c>
      <c r="C30" s="3">
        <v>5482</v>
      </c>
      <c r="D30" s="3">
        <v>2629651</v>
      </c>
      <c r="E30">
        <v>745</v>
      </c>
      <c r="G30" t="s">
        <v>20</v>
      </c>
      <c r="H30" s="3">
        <v>380085</v>
      </c>
    </row>
    <row r="31" spans="2:9" x14ac:dyDescent="0.25">
      <c r="B31" t="s">
        <v>58</v>
      </c>
      <c r="C31" s="3">
        <v>3393</v>
      </c>
      <c r="D31" s="3">
        <v>2216387</v>
      </c>
      <c r="E31">
        <v>1084</v>
      </c>
      <c r="G31" t="s">
        <v>21</v>
      </c>
      <c r="H31" s="3">
        <v>315852</v>
      </c>
    </row>
    <row r="32" spans="2:9" x14ac:dyDescent="0.25">
      <c r="B32" t="s">
        <v>59</v>
      </c>
      <c r="C32" s="3">
        <v>1096</v>
      </c>
      <c r="D32" s="3">
        <v>705275</v>
      </c>
      <c r="E32">
        <v>1051</v>
      </c>
      <c r="G32" t="s">
        <v>22</v>
      </c>
      <c r="H32" s="3">
        <v>289370</v>
      </c>
    </row>
    <row r="33" spans="2:8" x14ac:dyDescent="0.25">
      <c r="B33" t="s">
        <v>60</v>
      </c>
      <c r="C33" s="3">
        <v>550</v>
      </c>
      <c r="D33" s="3">
        <v>499263</v>
      </c>
      <c r="E33">
        <v>1436</v>
      </c>
      <c r="G33" t="s">
        <v>23</v>
      </c>
      <c r="H33" s="3">
        <v>275056</v>
      </c>
    </row>
    <row r="34" spans="2:8" x14ac:dyDescent="0.25">
      <c r="B34" t="s">
        <v>61</v>
      </c>
      <c r="C34" s="3">
        <v>26768</v>
      </c>
      <c r="D34" s="3">
        <v>400612</v>
      </c>
      <c r="E34">
        <v>25</v>
      </c>
      <c r="G34" t="s">
        <v>24</v>
      </c>
      <c r="H34" s="3">
        <v>272111</v>
      </c>
    </row>
    <row r="35" spans="2:8" x14ac:dyDescent="0.25">
      <c r="B35" t="s">
        <v>62</v>
      </c>
      <c r="C35" s="3">
        <v>55</v>
      </c>
      <c r="D35" s="3">
        <v>43768</v>
      </c>
      <c r="E35">
        <v>1223</v>
      </c>
      <c r="G35" t="s">
        <v>25</v>
      </c>
      <c r="H35" s="3">
        <v>270052</v>
      </c>
    </row>
    <row r="36" spans="2:8" x14ac:dyDescent="0.25">
      <c r="G36" t="s">
        <v>26</v>
      </c>
      <c r="H36" s="3">
        <v>249846</v>
      </c>
    </row>
    <row r="37" spans="2:8" x14ac:dyDescent="0.25">
      <c r="G37" t="s">
        <v>27</v>
      </c>
      <c r="H37" s="3">
        <v>249439</v>
      </c>
    </row>
    <row r="38" spans="2:8" x14ac:dyDescent="0.25">
      <c r="B38" t="s">
        <v>19</v>
      </c>
      <c r="C38" t="s">
        <v>48</v>
      </c>
      <c r="G38" t="s">
        <v>28</v>
      </c>
      <c r="H38" s="3">
        <v>245137</v>
      </c>
    </row>
    <row r="39" spans="2:8" x14ac:dyDescent="0.25">
      <c r="B39" t="s">
        <v>49</v>
      </c>
      <c r="C39">
        <v>41</v>
      </c>
      <c r="G39" t="s">
        <v>29</v>
      </c>
      <c r="H39" s="3">
        <v>244025</v>
      </c>
    </row>
    <row r="40" spans="2:8" x14ac:dyDescent="0.25">
      <c r="B40" t="s">
        <v>50</v>
      </c>
      <c r="C40">
        <v>42</v>
      </c>
    </row>
    <row r="41" spans="2:8" x14ac:dyDescent="0.25">
      <c r="B41" t="s">
        <v>26</v>
      </c>
      <c r="C41">
        <v>44</v>
      </c>
    </row>
    <row r="42" spans="2:8" x14ac:dyDescent="0.25">
      <c r="B42" t="s">
        <v>51</v>
      </c>
      <c r="C42">
        <v>47</v>
      </c>
    </row>
    <row r="43" spans="2:8" x14ac:dyDescent="0.25">
      <c r="B43" t="s">
        <v>52</v>
      </c>
      <c r="C43">
        <v>47</v>
      </c>
    </row>
    <row r="44" spans="2:8" x14ac:dyDescent="0.25">
      <c r="B44" t="s">
        <v>28</v>
      </c>
      <c r="C44">
        <v>48</v>
      </c>
    </row>
    <row r="45" spans="2:8" x14ac:dyDescent="0.25">
      <c r="B45" t="s">
        <v>45</v>
      </c>
      <c r="C45">
        <v>50</v>
      </c>
    </row>
    <row r="46" spans="2:8" x14ac:dyDescent="0.25">
      <c r="B46" t="s">
        <v>53</v>
      </c>
      <c r="C46">
        <v>50</v>
      </c>
    </row>
    <row r="47" spans="2:8" x14ac:dyDescent="0.25">
      <c r="B47" t="s">
        <v>44</v>
      </c>
      <c r="C47">
        <v>50</v>
      </c>
    </row>
    <row r="48" spans="2:8" x14ac:dyDescent="0.25">
      <c r="B48" t="s">
        <v>43</v>
      </c>
      <c r="C48">
        <v>51</v>
      </c>
    </row>
  </sheetData>
  <pageMargins left="0.511811024" right="0.511811024" top="0.78740157499999996" bottom="0.78740157499999996" header="0.31496062000000002" footer="0.31496062000000002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2496-A757-40AF-A1CC-A9AEC0477E33}">
  <dimension ref="A1:Z18"/>
  <sheetViews>
    <sheetView showGridLines="0" showRowColHeaders="0" workbookViewId="0">
      <selection activeCell="F41" sqref="F41"/>
    </sheetView>
  </sheetViews>
  <sheetFormatPr defaultRowHeight="15" x14ac:dyDescent="0.25"/>
  <cols>
    <col min="2" max="2" width="18.42578125" bestFit="1" customWidth="1"/>
    <col min="3" max="3" width="20.5703125" bestFit="1" customWidth="1"/>
    <col min="5" max="5" width="18.42578125" bestFit="1" customWidth="1"/>
    <col min="6" max="6" width="20.5703125" bestFit="1" customWidth="1"/>
    <col min="8" max="8" width="18.42578125" bestFit="1" customWidth="1"/>
    <col min="9" max="9" width="20.5703125" bestFit="1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7" spans="1:26" x14ac:dyDescent="0.25">
      <c r="B7" s="6" t="s">
        <v>63</v>
      </c>
      <c r="C7" t="s">
        <v>65</v>
      </c>
      <c r="E7" s="6" t="s">
        <v>63</v>
      </c>
      <c r="F7" t="s">
        <v>65</v>
      </c>
      <c r="H7" s="6" t="s">
        <v>63</v>
      </c>
      <c r="I7" t="s">
        <v>65</v>
      </c>
    </row>
    <row r="8" spans="1:26" x14ac:dyDescent="0.25">
      <c r="B8" s="7">
        <v>42795</v>
      </c>
      <c r="C8" s="3">
        <v>757706</v>
      </c>
      <c r="E8" s="8" t="s">
        <v>29</v>
      </c>
      <c r="F8" s="3">
        <v>244025</v>
      </c>
      <c r="H8" s="8" t="s">
        <v>36</v>
      </c>
      <c r="I8" s="3">
        <v>694695</v>
      </c>
    </row>
    <row r="9" spans="1:26" x14ac:dyDescent="0.25">
      <c r="B9" s="7">
        <v>42826</v>
      </c>
      <c r="C9" s="3">
        <v>449481</v>
      </c>
      <c r="E9" s="8" t="s">
        <v>28</v>
      </c>
      <c r="F9" s="3">
        <v>245137</v>
      </c>
      <c r="H9" s="8" t="s">
        <v>35</v>
      </c>
      <c r="I9" s="3">
        <v>1094363</v>
      </c>
    </row>
    <row r="10" spans="1:26" x14ac:dyDescent="0.25">
      <c r="B10" s="7">
        <v>42856</v>
      </c>
      <c r="C10" s="3">
        <v>673137</v>
      </c>
      <c r="E10" s="8" t="s">
        <v>27</v>
      </c>
      <c r="F10" s="3">
        <v>249439</v>
      </c>
      <c r="H10" s="8" t="s">
        <v>34</v>
      </c>
      <c r="I10" s="3">
        <v>1110252</v>
      </c>
    </row>
    <row r="11" spans="1:26" x14ac:dyDescent="0.25">
      <c r="B11" s="7">
        <v>42887</v>
      </c>
      <c r="C11" s="3">
        <v>884971</v>
      </c>
      <c r="E11" s="8" t="s">
        <v>26</v>
      </c>
      <c r="F11" s="3">
        <v>249846</v>
      </c>
      <c r="H11" s="8" t="s">
        <v>33</v>
      </c>
      <c r="I11" s="3">
        <v>1147821</v>
      </c>
    </row>
    <row r="12" spans="1:26" x14ac:dyDescent="0.25">
      <c r="B12" s="7">
        <v>42917</v>
      </c>
      <c r="C12" s="3">
        <v>443197</v>
      </c>
      <c r="E12" s="8" t="s">
        <v>25</v>
      </c>
      <c r="F12" s="3">
        <v>270052</v>
      </c>
      <c r="H12" s="8" t="s">
        <v>32</v>
      </c>
      <c r="I12" s="3">
        <v>1188039</v>
      </c>
    </row>
    <row r="13" spans="1:26" x14ac:dyDescent="0.25">
      <c r="B13" s="7">
        <v>42948</v>
      </c>
      <c r="C13" s="3">
        <v>696390</v>
      </c>
      <c r="E13" s="8" t="s">
        <v>24</v>
      </c>
      <c r="F13" s="3">
        <v>272111</v>
      </c>
      <c r="H13" s="8" t="s">
        <v>31</v>
      </c>
      <c r="I13" s="3">
        <v>1259786</v>
      </c>
    </row>
    <row r="14" spans="1:26" x14ac:dyDescent="0.25">
      <c r="B14" s="7">
        <v>42979</v>
      </c>
      <c r="C14" s="3">
        <v>746069</v>
      </c>
      <c r="E14" s="8" t="s">
        <v>23</v>
      </c>
      <c r="F14" s="3">
        <v>275056</v>
      </c>
      <c r="H14" s="8" t="s">
        <v>64</v>
      </c>
      <c r="I14" s="3">
        <v>6494956</v>
      </c>
    </row>
    <row r="15" spans="1:26" x14ac:dyDescent="0.25">
      <c r="B15" s="7">
        <v>43009</v>
      </c>
      <c r="C15" s="3">
        <v>466965</v>
      </c>
      <c r="E15" s="8" t="s">
        <v>22</v>
      </c>
      <c r="F15" s="3">
        <v>289370</v>
      </c>
    </row>
    <row r="16" spans="1:26" x14ac:dyDescent="0.25">
      <c r="B16" s="7">
        <v>43040</v>
      </c>
      <c r="C16" s="3">
        <v>622472</v>
      </c>
      <c r="E16" s="8" t="s">
        <v>21</v>
      </c>
      <c r="F16" s="3">
        <v>315852</v>
      </c>
    </row>
    <row r="17" spans="2:6" x14ac:dyDescent="0.25">
      <c r="B17" s="7">
        <v>43070</v>
      </c>
      <c r="C17" s="3">
        <v>754568</v>
      </c>
      <c r="E17" s="8" t="s">
        <v>20</v>
      </c>
      <c r="F17" s="3">
        <v>380085</v>
      </c>
    </row>
    <row r="18" spans="2:6" x14ac:dyDescent="0.25">
      <c r="B18" s="7" t="s">
        <v>64</v>
      </c>
      <c r="C18" s="3">
        <v>6494956</v>
      </c>
      <c r="E18" s="8" t="s">
        <v>64</v>
      </c>
      <c r="F18" s="3">
        <v>2790973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5386-8CDE-471C-837E-44C70D32F229}">
  <dimension ref="A1:Z3"/>
  <sheetViews>
    <sheetView showGridLines="0" showRowColHeaders="0" workbookViewId="0">
      <selection activeCell="K35" sqref="K35"/>
    </sheetView>
  </sheetViews>
  <sheetFormatPr defaultRowHeight="15" x14ac:dyDescent="0.25"/>
  <cols>
    <col min="11" max="11" width="9.14062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C1AC02-D141-4269-A0D0-A5EF344E68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Dados_Bruto</vt:lpstr>
      <vt:lpstr>Tabelas_Dinâmicas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 Silva</dc:creator>
  <cp:lastModifiedBy>Rodrigo Oliveira Silva</cp:lastModifiedBy>
  <dcterms:created xsi:type="dcterms:W3CDTF">2026-07-10T23:47:19Z</dcterms:created>
  <dcterms:modified xsi:type="dcterms:W3CDTF">2026-07-13T19:09:35Z</dcterms:modified>
</cp:coreProperties>
</file>
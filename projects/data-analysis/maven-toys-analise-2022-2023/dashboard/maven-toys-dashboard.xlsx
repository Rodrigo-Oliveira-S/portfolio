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odrigo Oliveira\Documents\Analises Prontas para GITHUB\maven-toys-analise-2022-2023\"/>
    </mc:Choice>
  </mc:AlternateContent>
  <xr:revisionPtr revIDLastSave="0" documentId="13_ncr:1_{28EC8210-B604-4B58-9BB0-76EC8CFEFC8B}" xr6:coauthVersionLast="47" xr6:coauthVersionMax="47" xr10:uidLastSave="{00000000-0000-0000-0000-000000000000}"/>
  <bookViews>
    <workbookView xWindow="-120" yWindow="-120" windowWidth="20730" windowHeight="11310" xr2:uid="{49ADD925-410C-4167-B0C2-CE69DC35FE20}"/>
  </bookViews>
  <sheets>
    <sheet name="Capa" sheetId="1" r:id="rId1"/>
    <sheet name="Dados Brutos" sheetId="8" r:id="rId2"/>
    <sheet name="Tabelas Dinâmicas" sheetId="4" r:id="rId3"/>
    <sheet name="Dashboard" sheetId="9" r:id="rId4"/>
  </sheets>
  <definedNames>
    <definedName name="DadosExternos_1" localSheetId="1" hidden="1">'Dados Brutos'!$B$5:$E$26</definedName>
    <definedName name="DadosExternos_2" localSheetId="1" hidden="1">'Dados Brutos'!$B$28:$E$30</definedName>
    <definedName name="DadosExternos_3" localSheetId="1" hidden="1">'Dados Brutos'!$B$32:$E$37</definedName>
    <definedName name="DadosExternos_4" localSheetId="1" hidden="1">'Dados Brutos'!$B$39:$C$40</definedName>
    <definedName name="DadosExternos_5" localSheetId="1" hidden="1">'Dados Brutos'!$B$42:$C$43</definedName>
    <definedName name="DadosExternos_6" localSheetId="1" hidden="1">'Dados Brutos'!$G$5:$K$40</definedName>
  </definedNames>
  <calcPr calcId="191029"/>
  <pivotCaches>
    <pivotCache cacheId="17" r:id="rId5"/>
    <pivotCache cacheId="21" r:id="rId6"/>
    <pivotCache cacheId="2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4E8573-089A-44D0-A2EE-5C0B037EC9E7}" keepAlive="1" name="Consulta - 01-analise-faturamento-anual" description="Conexão com a consulta '01-analise-faturamento-anual' na pasta de trabalho." type="5" refreshedVersion="0" background="1">
    <dbPr connection="Provider=Microsoft.Mashup.OleDb.1;Data Source=$Workbook$;Location=01-analise-faturamento-anual;Extended Properties=&quot;&quot;" command="SELECT * FROM [01-analise-faturamento-anual]"/>
  </connection>
  <connection id="2" xr16:uid="{048E6752-ECC3-47FD-B41C-43DE25FFAD09}" keepAlive="1" name="Consulta - 01-analise-faturamento-anual (2)" description="Conexão com a consulta '01-analise-faturamento-anual (2)' na pasta de trabalho." type="5" refreshedVersion="0" background="1">
    <dbPr connection="Provider=Microsoft.Mashup.OleDb.1;Data Source=$Workbook$;Location=&quot;01-analise-faturamento-anual (2)&quot;;Extended Properties=&quot;&quot;" command="SELECT * FROM [01-analise-faturamento-anual (2)]"/>
  </connection>
  <connection id="3" xr16:uid="{58114FD4-B671-4E0E-A10B-50ABB538AE1F}" keepAlive="1" name="Consulta - 01-analise-faturamento-anual (3)" description="Conexão com a consulta '01-analise-faturamento-anual (3)' na pasta de trabalho." type="5" refreshedVersion="8" background="1" saveData="1">
    <dbPr connection="Provider=Microsoft.Mashup.OleDb.1;Data Source=$Workbook$;Location=&quot;01-analise-faturamento-anual (3)&quot;;Extended Properties=&quot;&quot;" command="SELECT * FROM [01-analise-faturamento-anual (3)]"/>
  </connection>
  <connection id="4" xr16:uid="{1ADC4A52-B6CC-433F-B445-865A89FEC37C}" keepAlive="1" name="Consulta - 02-analise-faturamento-2022-2023" description="Conexão com a consulta '02-analise-faturamento-2022-2023' na pasta de trabalho." type="5" refreshedVersion="0" background="1">
    <dbPr connection="Provider=Microsoft.Mashup.OleDb.1;Data Source=$Workbook$;Location=02-analise-faturamento-2022-2023;Extended Properties=&quot;&quot;" command="SELECT * FROM [02-analise-faturamento-2022-2023]"/>
  </connection>
  <connection id="5" xr16:uid="{1B816C1A-A111-400A-A3DD-682B763309B8}" keepAlive="1" name="Consulta - 02-analise-faturamento-2022-2023 (2)" description="Conexão com a consulta '02-analise-faturamento-2022-2023 (2)' na pasta de trabalho." type="5" refreshedVersion="8" background="1" saveData="1">
    <dbPr connection="Provider=Microsoft.Mashup.OleDb.1;Data Source=$Workbook$;Location=&quot;02-analise-faturamento-2022-2023 (2)&quot;;Extended Properties=&quot;&quot;" command="SELECT * FROM [02-analise-faturamento-2022-2023 (2)]"/>
  </connection>
  <connection id="6" xr16:uid="{CF166DC3-740D-434A-99D8-ADA29E587B9C}" keepAlive="1" name="Consulta - 03-analise-categoria-marco-2023" description="Conexão com a consulta '03-analise-categoria-marco-2023' na pasta de trabalho." type="5" refreshedVersion="0" background="1">
    <dbPr connection="Provider=Microsoft.Mashup.OleDb.1;Data Source=$Workbook$;Location=03-analise-categoria-marco-2023;Extended Properties=&quot;&quot;" command="SELECT * FROM [03-analise-categoria-marco-2023]"/>
  </connection>
  <connection id="7" xr16:uid="{3D69C4A3-6566-4721-A268-98A82DBEAD83}" keepAlive="1" name="Consulta - 03-analise-categoria-marco-2023 (2)" description="Conexão com a consulta '03-analise-categoria-marco-2023 (2)' na pasta de trabalho." type="5" refreshedVersion="8" background="1" saveData="1">
    <dbPr connection="Provider=Microsoft.Mashup.OleDb.1;Data Source=$Workbook$;Location=&quot;03-analise-categoria-marco-2023 (2)&quot;;Extended Properties=&quot;&quot;" command="SELECT * FROM [03-analise-categoria-marco-2023 (2)]"/>
  </connection>
  <connection id="8" xr16:uid="{8747252F-A6BB-4A69-AEA2-A40E01396CA4}" keepAlive="1" name="Consulta - 06-analise-media-faturamento" description="Conexão com a consulta '06-analise-media-faturamento' na pasta de trabalho." type="5" refreshedVersion="0" background="1">
    <dbPr connection="Provider=Microsoft.Mashup.OleDb.1;Data Source=$Workbook$;Location=06-analise-media-faturamento;Extended Properties=&quot;&quot;" command="SELECT * FROM [06-analise-media-faturamento]"/>
  </connection>
  <connection id="9" xr16:uid="{D20C09AD-5E79-4B72-AF48-72CD98B62D29}" keepAlive="1" name="Consulta - 06-analise-media-faturamento (2)" description="Conexão com a consulta '06-analise-media-faturamento (2)' na pasta de trabalho." type="5" refreshedVersion="8" background="1" saveData="1">
    <dbPr connection="Provider=Microsoft.Mashup.OleDb.1;Data Source=$Workbook$;Location=&quot;06-analise-media-faturamento (2)&quot;;Extended Properties=&quot;&quot;" command="SELECT * FROM [06-analise-media-faturamento (2)]"/>
  </connection>
  <connection id="10" xr16:uid="{90CC2FD4-E9A5-4DC6-AE38-54FCFF7F5D45}" keepAlive="1" name="Consulta - 07-analise-faturamento-media-dia-marco" description="Conexão com a consulta '07-analise-faturamento-media-dia-marco' na pasta de trabalho." type="5" refreshedVersion="0" background="1">
    <dbPr connection="Provider=Microsoft.Mashup.OleDb.1;Data Source=$Workbook$;Location=07-analise-faturamento-media-dia-marco;Extended Properties=&quot;&quot;" command="SELECT * FROM [07-analise-faturamento-media-dia-marco]"/>
  </connection>
  <connection id="11" xr16:uid="{4FB5D182-9982-466E-BEBC-AF983F29AA27}" keepAlive="1" name="Consulta - 07-analise-faturamento-media-dia-marco (2)" description="Conexão com a consulta '07-analise-faturamento-media-dia-marco (2)' na pasta de trabalho." type="5" refreshedVersion="8" background="1" saveData="1">
    <dbPr connection="Provider=Microsoft.Mashup.OleDb.1;Data Source=$Workbook$;Location=&quot;07-analise-faturamento-media-dia-marco (2)&quot;;Extended Properties=&quot;&quot;" command="SELECT * FROM [07-analise-faturamento-media-dia-marco (2)]"/>
  </connection>
  <connection id="12" xr16:uid="{8721E60B-9E9D-4119-80D4-BAC7ACB42172}" keepAlive="1" name="Consulta - 10-analise-colorbuds-custo" description="Conexão com a consulta '10-analise-colorbuds-custo' na pasta de trabalho." type="5" refreshedVersion="0" background="1">
    <dbPr connection="Provider=Microsoft.Mashup.OleDb.1;Data Source=$Workbook$;Location=10-analise-colorbuds-custo;Extended Properties=&quot;&quot;" command="SELECT * FROM [10-analise-colorbuds-custo]"/>
  </connection>
  <connection id="13" xr16:uid="{965FE035-72A4-48E0-B558-E5F3F6DBED4A}" keepAlive="1" name="Consulta - 10-analise-colorbuds-custo (2)" description="Conexão com a consulta '10-analise-colorbuds-custo (2)' na pasta de trabalho." type="5" refreshedVersion="8" background="1" saveData="1">
    <dbPr connection="Provider=Microsoft.Mashup.OleDb.1;Data Source=$Workbook$;Location=&quot;10-analise-colorbuds-custo (2)&quot;;Extended Properties=&quot;&quot;" command="SELECT * FROM [10-analise-colorbuds-custo (2)]"/>
  </connection>
</connections>
</file>

<file path=xl/sharedStrings.xml><?xml version="1.0" encoding="utf-8"?>
<sst xmlns="http://schemas.openxmlformats.org/spreadsheetml/2006/main" count="113" uniqueCount="83">
  <si>
    <t>data_venda</t>
  </si>
  <si>
    <t>quantidade</t>
  </si>
  <si>
    <t>faturamento_bruto</t>
  </si>
  <si>
    <t>faturamento_liquido</t>
  </si>
  <si>
    <t>categoria</t>
  </si>
  <si>
    <t>Toys</t>
  </si>
  <si>
    <t>Art &amp; Crafts</t>
  </si>
  <si>
    <t>Electronics</t>
  </si>
  <si>
    <t>Games</t>
  </si>
  <si>
    <t>Sports &amp; Outdoors</t>
  </si>
  <si>
    <t>media_bruto</t>
  </si>
  <si>
    <t>media_liquido</t>
  </si>
  <si>
    <t>produto</t>
  </si>
  <si>
    <t>preco_final</t>
  </si>
  <si>
    <t>preco_custo</t>
  </si>
  <si>
    <t>Lego Bricks</t>
  </si>
  <si>
    <t>Colorbuds</t>
  </si>
  <si>
    <t>Magic Sand</t>
  </si>
  <si>
    <t>Action Figure</t>
  </si>
  <si>
    <t>Rubik's Cube</t>
  </si>
  <si>
    <t>Deck Of Cards</t>
  </si>
  <si>
    <t>Splash Balls</t>
  </si>
  <si>
    <t>Nerf Gun</t>
  </si>
  <si>
    <t>Animal Figures</t>
  </si>
  <si>
    <t>Dart Gun</t>
  </si>
  <si>
    <t>Kids Makeup Kit</t>
  </si>
  <si>
    <t>Dinosaur Figures</t>
  </si>
  <si>
    <t>Dino Egg</t>
  </si>
  <si>
    <t>Glass Marbles</t>
  </si>
  <si>
    <t>Gamer Headphones</t>
  </si>
  <si>
    <t>Barrel O' Slime</t>
  </si>
  <si>
    <t>Mini Ping Pong Set</t>
  </si>
  <si>
    <t>PlayDoh Can</t>
  </si>
  <si>
    <t>Toy Robot</t>
  </si>
  <si>
    <t>Etch A Sketch</t>
  </si>
  <si>
    <t>PlayDoh Playset</t>
  </si>
  <si>
    <t>Hot Wheels 5-Pack</t>
  </si>
  <si>
    <t>Jenga</t>
  </si>
  <si>
    <t>PlayDoh Toolkit</t>
  </si>
  <si>
    <t>Plush Pony</t>
  </si>
  <si>
    <t>Supersoaker Water Gun</t>
  </si>
  <si>
    <t>Foam Disk Launcher</t>
  </si>
  <si>
    <t>Mr. Potatohead</t>
  </si>
  <si>
    <t>Teddy Bear</t>
  </si>
  <si>
    <t>Monopoly</t>
  </si>
  <si>
    <t>Mini Basketball Hoop</t>
  </si>
  <si>
    <t>Chutes &amp; Ladders</t>
  </si>
  <si>
    <t>Playfoam</t>
  </si>
  <si>
    <t>Classic Dominoes</t>
  </si>
  <si>
    <t>Uno Card Game</t>
  </si>
  <si>
    <t>Soma de faturamento_liquido</t>
  </si>
  <si>
    <t>Rótulos de Linha</t>
  </si>
  <si>
    <t>Total Geral</t>
  </si>
  <si>
    <t>2022</t>
  </si>
  <si>
    <t>2023</t>
  </si>
  <si>
    <t>Trim1</t>
  </si>
  <si>
    <t>Trim2</t>
  </si>
  <si>
    <t>Trim3</t>
  </si>
  <si>
    <t>Trim4</t>
  </si>
  <si>
    <t>Soma de faturamento_bruto</t>
  </si>
  <si>
    <t>KPI's - Maven Toys (2022 - 2023)</t>
  </si>
  <si>
    <t>Melhor mês</t>
  </si>
  <si>
    <t>Março/2023 ($231.909)</t>
  </si>
  <si>
    <t>Melhor Loja</t>
  </si>
  <si>
    <t>Ciudad de Mexico 2</t>
  </si>
  <si>
    <t>Produto Mais Lucrativo</t>
  </si>
  <si>
    <t>Colorbuds ($834.944)</t>
  </si>
  <si>
    <t>Colorbuds é Sazonal?</t>
  </si>
  <si>
    <t xml:space="preserve">Não - em declínio </t>
  </si>
  <si>
    <t>Ticket Médio Mensal</t>
  </si>
  <si>
    <t>$191.144 (líquido)</t>
  </si>
  <si>
    <t>Toys ($59.978)</t>
  </si>
  <si>
    <t>Melhor Categoria</t>
  </si>
  <si>
    <t>Projeto Análise de Desempenho - Maven Toys</t>
  </si>
  <si>
    <t>Analista Responsável: Rodrigo Oliveira</t>
  </si>
  <si>
    <t>Ferramentas Utilizadas: PostgreSQL, Excel e Power Query</t>
  </si>
  <si>
    <t>Período da Análise: Janeiro/2022 a Setembro/2023</t>
  </si>
  <si>
    <t>Fonte de dados: Maven Analytics (CSV Público)</t>
  </si>
  <si>
    <t>Resumo dos Principais Insights:</t>
  </si>
  <si>
    <r>
      <rPr>
        <b/>
        <sz val="12"/>
        <color theme="1"/>
        <rFont val="Arial"/>
        <family val="2"/>
      </rPr>
      <t>Março foi um mês átipico</t>
    </r>
    <r>
      <rPr>
        <sz val="12"/>
        <color theme="1"/>
        <rFont val="Arial"/>
        <family val="2"/>
      </rPr>
      <t xml:space="preserve"> - Sem data comemorativa, quase empatou com dezembro/2022 em Lucro Líquido.</t>
    </r>
  </si>
  <si>
    <r>
      <rPr>
        <b/>
        <sz val="12"/>
        <color theme="1"/>
        <rFont val="Arial"/>
        <family val="2"/>
      </rPr>
      <t>Colorbuds é o carro chefe da rede</t>
    </r>
    <r>
      <rPr>
        <sz val="11"/>
        <color theme="1"/>
        <rFont val="Arial"/>
        <family val="2"/>
      </rPr>
      <t xml:space="preserve"> - </t>
    </r>
    <r>
      <rPr>
        <sz val="12"/>
        <color theme="1"/>
        <rFont val="Arial"/>
        <family val="2"/>
      </rPr>
      <t>Gerou US$ 834.944 de lucro, quase 3x mais que o segundo colocado, com margem de 53%.</t>
    </r>
  </si>
  <si>
    <r>
      <t>Art &amp; Crafts surpreendeu</t>
    </r>
    <r>
      <rPr>
        <sz val="12"/>
        <color theme="1"/>
        <rFont val="Arial"/>
        <family val="2"/>
      </rPr>
      <t xml:space="preserve"> - vende menos que Toys, mas tem margens tão altas que quase empata no lucro líquido.</t>
    </r>
  </si>
  <si>
    <r>
      <t>A rede está crescendo</t>
    </r>
    <r>
      <rPr>
        <sz val="12"/>
        <color theme="1"/>
        <rFont val="Arial"/>
        <family val="2"/>
      </rPr>
      <t xml:space="preserve"> — em apenas 9 meses, 2023 já atingiu 83% do lucro de 2022 inteiro.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</si>
</sst>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$-409]* #,##0.00_ ;_-[$$-409]* \-#,##0.00\ ;_-[$$-409]* &quot;-&quot;??_ ;_-@_ "/>
  </numFmts>
  <fonts count="1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0"/>
      <color theme="1"/>
      <name val="Arial"/>
      <family val="2"/>
    </font>
    <font>
      <sz val="14"/>
      <color theme="1"/>
      <name val="Arial 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7" xfId="0" applyFont="1" applyBorder="1"/>
    <xf numFmtId="0" fontId="3" fillId="0" borderId="8" xfId="0" applyFont="1" applyBorder="1"/>
    <xf numFmtId="0" fontId="4" fillId="0" borderId="3" xfId="0" applyFont="1" applyBorder="1"/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5" fillId="0" borderId="1" xfId="0" applyFont="1" applyBorder="1"/>
    <xf numFmtId="0" fontId="0" fillId="0" borderId="9" xfId="0" applyBorder="1"/>
    <xf numFmtId="0" fontId="6" fillId="0" borderId="3" xfId="0" applyFont="1" applyBorder="1"/>
    <xf numFmtId="0" fontId="0" fillId="0" borderId="0" xfId="0" applyBorder="1"/>
    <xf numFmtId="0" fontId="7" fillId="0" borderId="3" xfId="0" applyFont="1" applyBorder="1"/>
    <xf numFmtId="0" fontId="10" fillId="0" borderId="3" xfId="0" applyFont="1" applyBorder="1"/>
    <xf numFmtId="0" fontId="1" fillId="0" borderId="3" xfId="0" applyFont="1" applyBorder="1"/>
    <xf numFmtId="0" fontId="9" fillId="0" borderId="3" xfId="0" applyFont="1" applyBorder="1"/>
    <xf numFmtId="0" fontId="9" fillId="0" borderId="5" xfId="0" applyFont="1" applyBorder="1"/>
    <xf numFmtId="0" fontId="0" fillId="0" borderId="10" xfId="0" applyBorder="1"/>
    <xf numFmtId="0" fontId="0" fillId="0" borderId="6" xfId="0" applyBorder="1"/>
    <xf numFmtId="0" fontId="8" fillId="0" borderId="3" xfId="0" applyFont="1" applyBorder="1"/>
  </cellXfs>
  <cellStyles count="1">
    <cellStyle name="Normal" xfId="0" builtinId="0"/>
  </cellStyles>
  <dxfs count="13"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[dashboard-maven-toys.xlsx]Tabelas Dinâmicas!Tabela dinâmica8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Top</a:t>
            </a:r>
            <a:r>
              <a:rPr lang="en-US" b="1" baseline="0">
                <a:solidFill>
                  <a:schemeClr val="tx1"/>
                </a:solidFill>
              </a:rPr>
              <a:t> 5 Produtos por Lucro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7458327143069383"/>
          <c:y val="6.7321168207799181E-2"/>
        </c:manualLayout>
      </c:layout>
      <c:overlay val="0"/>
      <c:spPr>
        <a:solidFill>
          <a:schemeClr val="bg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'Tabelas Dinâmicas'!$J$5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3A2-4A1F-9D90-0ACA61CDDF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3A2-4A1F-9D90-0ACA61CDDF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3A2-4A1F-9D90-0ACA61CDDF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3A2-4A1F-9D90-0ACA61CDDF3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3A2-4A1F-9D90-0ACA61CDDF3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3A2-4A1F-9D90-0ACA61CDDF3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3A2-4A1F-9D90-0ACA61CDDF3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3A2-4A1F-9D90-0ACA61CDDF3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3A2-4A1F-9D90-0ACA61CDDF3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3A2-4A1F-9D90-0ACA61CDDF3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3A2-4A1F-9D90-0ACA61CDDF3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3A2-4A1F-9D90-0ACA61CDDF3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E3A2-4A1F-9D90-0ACA61CDDF3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E3A2-4A1F-9D90-0ACA61CDDF3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E3A2-4A1F-9D90-0ACA61CDDF3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E3A2-4A1F-9D90-0ACA61CDDF3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E3A2-4A1F-9D90-0ACA61CDDF3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E3A2-4A1F-9D90-0ACA61CDDF3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E3A2-4A1F-9D90-0ACA61CDDF3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E3A2-4A1F-9D90-0ACA61CDDF3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E3A2-4A1F-9D90-0ACA61CDDF3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E3A2-4A1F-9D90-0ACA61CDDF3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E3A2-4A1F-9D90-0ACA61CDDF3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E3A2-4A1F-9D90-0ACA61CDDF39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E3A2-4A1F-9D90-0ACA61CDDF39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E3A2-4A1F-9D90-0ACA61CDDF39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E3A2-4A1F-9D90-0ACA61CDDF39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E3A2-4A1F-9D90-0ACA61CDDF39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E3A2-4A1F-9D90-0ACA61CDDF39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E3A2-4A1F-9D90-0ACA61CDDF39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D-E3A2-4A1F-9D90-0ACA61CDDF39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F-E3A2-4A1F-9D90-0ACA61CDDF39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1-E3A2-4A1F-9D90-0ACA61CDDF39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3-E3A2-4A1F-9D90-0ACA61CDDF39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5-E3A2-4A1F-9D90-0ACA61CDDF39}"/>
              </c:ext>
            </c:extLst>
          </c:dPt>
          <c:cat>
            <c:strRef>
              <c:f>'Tabelas Dinâmicas'!$I$6:$I$11</c:f>
              <c:strCache>
                <c:ptCount val="5"/>
                <c:pt idx="0">
                  <c:v>Colorbuds</c:v>
                </c:pt>
                <c:pt idx="1">
                  <c:v>Action Figure</c:v>
                </c:pt>
                <c:pt idx="2">
                  <c:v>Lego Bricks</c:v>
                </c:pt>
                <c:pt idx="3">
                  <c:v>Deck Of Cards</c:v>
                </c:pt>
                <c:pt idx="4">
                  <c:v>Glass Marbles</c:v>
                </c:pt>
              </c:strCache>
            </c:strRef>
          </c:cat>
          <c:val>
            <c:numRef>
              <c:f>'Tabelas Dinâmicas'!$J$6:$J$11</c:f>
              <c:numCache>
                <c:formatCode>_-[$$-409]* #,##0.00_ ;_-[$$-409]* \-#,##0.00\ ;_-[$$-409]* "-"??_ ;_-@_ </c:formatCode>
                <c:ptCount val="5"/>
                <c:pt idx="0">
                  <c:v>834944</c:v>
                </c:pt>
                <c:pt idx="1">
                  <c:v>347748</c:v>
                </c:pt>
                <c:pt idx="2">
                  <c:v>298685</c:v>
                </c:pt>
                <c:pt idx="3">
                  <c:v>252102</c:v>
                </c:pt>
                <c:pt idx="4">
                  <c:v>187590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E3A2-4A1F-9D90-0ACA61CDD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[dashboard-maven-toys.xlsx]Tabelas Dinâmicas!Tabela dinâmica7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Categorias em Março (Bruto vs. Líquido)</a:t>
            </a:r>
          </a:p>
        </c:rich>
      </c:tx>
      <c:overlay val="0"/>
      <c:spPr>
        <a:solidFill>
          <a:schemeClr val="bg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'Tabelas Dinâmicas'!$F$5</c:f>
              <c:strCache>
                <c:ptCount val="1"/>
                <c:pt idx="0">
                  <c:v>Soma de faturamento_liquido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 Dinâmicas'!$E$6:$E$11</c:f>
              <c:strCache>
                <c:ptCount val="5"/>
                <c:pt idx="0">
                  <c:v>Sports &amp; Outdoors</c:v>
                </c:pt>
                <c:pt idx="1">
                  <c:v>Games</c:v>
                </c:pt>
                <c:pt idx="2">
                  <c:v>Electronics</c:v>
                </c:pt>
                <c:pt idx="3">
                  <c:v>Art &amp; Crafts</c:v>
                </c:pt>
                <c:pt idx="4">
                  <c:v>Toys</c:v>
                </c:pt>
              </c:strCache>
            </c:strRef>
          </c:cat>
          <c:val>
            <c:numRef>
              <c:f>'Tabelas Dinâmicas'!$F$6:$F$11</c:f>
              <c:numCache>
                <c:formatCode>_-[$$-409]* #,##0.00_ ;_-[$$-409]* \-#,##0.00\ ;_-[$$-409]* "-"??_ ;_-@_ </c:formatCode>
                <c:ptCount val="5"/>
                <c:pt idx="0">
                  <c:v>34682</c:v>
                </c:pt>
                <c:pt idx="1">
                  <c:v>40004</c:v>
                </c:pt>
                <c:pt idx="2">
                  <c:v>41181</c:v>
                </c:pt>
                <c:pt idx="3">
                  <c:v>56064</c:v>
                </c:pt>
                <c:pt idx="4">
                  <c:v>59978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BF-439C-95BF-CB78B39FB8A4}"/>
            </c:ext>
          </c:extLst>
        </c:ser>
        <c:ser>
          <c:idx val="1"/>
          <c:order val="1"/>
          <c:tx>
            <c:strRef>
              <c:f>'Tabelas Dinâmicas'!$G$5</c:f>
              <c:strCache>
                <c:ptCount val="1"/>
                <c:pt idx="0">
                  <c:v>Soma de faturamento_bruto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 Dinâmicas'!$E$6:$E$11</c:f>
              <c:strCache>
                <c:ptCount val="5"/>
                <c:pt idx="0">
                  <c:v>Sports &amp; Outdoors</c:v>
                </c:pt>
                <c:pt idx="1">
                  <c:v>Games</c:v>
                </c:pt>
                <c:pt idx="2">
                  <c:v>Electronics</c:v>
                </c:pt>
                <c:pt idx="3">
                  <c:v>Art &amp; Crafts</c:v>
                </c:pt>
                <c:pt idx="4">
                  <c:v>Toys</c:v>
                </c:pt>
              </c:strCache>
            </c:strRef>
          </c:cat>
          <c:val>
            <c:numRef>
              <c:f>'Tabelas Dinâmicas'!$G$6:$G$11</c:f>
              <c:numCache>
                <c:formatCode>_-[$$-409]* #,##0.00_ ;_-[$$-409]* \-#,##0.00\ ;_-[$$-409]* "-"??_ ;_-@_ </c:formatCode>
                <c:ptCount val="5"/>
                <c:pt idx="0">
                  <c:v>142103</c:v>
                </c:pt>
                <c:pt idx="1">
                  <c:v>131253</c:v>
                </c:pt>
                <c:pt idx="2">
                  <c:v>101112</c:v>
                </c:pt>
                <c:pt idx="3">
                  <c:v>205848</c:v>
                </c:pt>
                <c:pt idx="4">
                  <c:v>303200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BF-439C-95BF-CB78B39FB8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479073648"/>
        <c:axId val="1479067408"/>
        <c:axId val="0"/>
      </c:bar3DChart>
      <c:catAx>
        <c:axId val="14790736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9067408"/>
        <c:crosses val="autoZero"/>
        <c:auto val="1"/>
        <c:lblAlgn val="ctr"/>
        <c:lblOffset val="100"/>
        <c:noMultiLvlLbl val="0"/>
      </c:catAx>
      <c:valAx>
        <c:axId val="14790674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out"/>
        <c:minorTickMark val="none"/>
        <c:tickLblPos val="nextTo"/>
        <c:crossAx val="147907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4265782566652852"/>
          <c:y val="0.12907851536508935"/>
          <c:w val="0.51468419932572429"/>
          <c:h val="8.538957494467772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[dashboard-maven-toys.xlsx]Tabelas Dinâmicas!Tabela dinâmica6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Faturamento por Trimestre</a:t>
            </a:r>
          </a:p>
        </c:rich>
      </c:tx>
      <c:overlay val="0"/>
      <c:spPr>
        <a:solidFill>
          <a:schemeClr val="bg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'Tabelas Dinâmicas'!$C$5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'Tabelas Dinâmicas'!$B$6:$B$15</c:f>
              <c:multiLvlStrCache>
                <c:ptCount val="7"/>
                <c:lvl>
                  <c:pt idx="0">
                    <c:v>Trim1</c:v>
                  </c:pt>
                  <c:pt idx="1">
                    <c:v>Trim2</c:v>
                  </c:pt>
                  <c:pt idx="2">
                    <c:v>Trim3</c:v>
                  </c:pt>
                  <c:pt idx="3">
                    <c:v>Trim4</c:v>
                  </c:pt>
                  <c:pt idx="4">
                    <c:v>Trim1</c:v>
                  </c:pt>
                  <c:pt idx="5">
                    <c:v>Trim2</c:v>
                  </c:pt>
                  <c:pt idx="6">
                    <c:v>Trim3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</c:lvl>
              </c:multiLvlStrCache>
            </c:multiLvlStrRef>
          </c:cat>
          <c:val>
            <c:numRef>
              <c:f>'Tabelas Dinâmicas'!$C$6:$C$15</c:f>
              <c:numCache>
                <c:formatCode>_-[$$-409]* #,##0.00_ ;_-[$$-409]* \-#,##0.00\ ;_-[$$-409]* "-"??_ ;_-@_ </c:formatCode>
                <c:ptCount val="7"/>
                <c:pt idx="0">
                  <c:v>502979</c:v>
                </c:pt>
                <c:pt idx="1">
                  <c:v>566808</c:v>
                </c:pt>
                <c:pt idx="2">
                  <c:v>502250</c:v>
                </c:pt>
                <c:pt idx="3">
                  <c:v>617750</c:v>
                </c:pt>
                <c:pt idx="4">
                  <c:v>626297</c:v>
                </c:pt>
                <c:pt idx="5">
                  <c:v>632655</c:v>
                </c:pt>
                <c:pt idx="6">
                  <c:v>565290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6A-4EF6-9F22-1DA10E452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90266783"/>
        <c:axId val="1890267263"/>
        <c:axId val="0"/>
      </c:bar3DChart>
      <c:catAx>
        <c:axId val="189026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0267263"/>
        <c:crosses val="autoZero"/>
        <c:auto val="1"/>
        <c:lblAlgn val="ctr"/>
        <c:lblOffset val="100"/>
        <c:noMultiLvlLbl val="0"/>
      </c:catAx>
      <c:valAx>
        <c:axId val="189026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0266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13</xdr:row>
      <xdr:rowOff>14286</xdr:rowOff>
    </xdr:from>
    <xdr:to>
      <xdr:col>3</xdr:col>
      <xdr:colOff>1</xdr:colOff>
      <xdr:row>30</xdr:row>
      <xdr:rowOff>104775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0645B82F-BD3C-0E89-3479-A8DE680863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9524</xdr:colOff>
      <xdr:row>4</xdr:row>
      <xdr:rowOff>4762</xdr:rowOff>
    </xdr:from>
    <xdr:to>
      <xdr:col>14</xdr:col>
      <xdr:colOff>609599</xdr:colOff>
      <xdr:row>16</xdr:row>
      <xdr:rowOff>123825</xdr:rowOff>
    </xdr:to>
    <xdr:graphicFrame macro="">
      <xdr:nvGraphicFramePr>
        <xdr:cNvPr id="3" name="Gráfico 3">
          <a:extLst>
            <a:ext uri="{FF2B5EF4-FFF2-40B4-BE49-F238E27FC236}">
              <a16:creationId xmlns:a16="http://schemas.microsoft.com/office/drawing/2014/main" id="{89B3F779-751B-BA56-203C-8FDAA3DDC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9524</xdr:colOff>
      <xdr:row>17</xdr:row>
      <xdr:rowOff>123825</xdr:rowOff>
    </xdr:from>
    <xdr:to>
      <xdr:col>15</xdr:col>
      <xdr:colOff>19049</xdr:colOff>
      <xdr:row>30</xdr:row>
      <xdr:rowOff>114300</xdr:rowOff>
    </xdr:to>
    <xdr:graphicFrame macro="">
      <xdr:nvGraphicFramePr>
        <xdr:cNvPr id="4" name="Gráfico 4">
          <a:extLst>
            <a:ext uri="{FF2B5EF4-FFF2-40B4-BE49-F238E27FC236}">
              <a16:creationId xmlns:a16="http://schemas.microsoft.com/office/drawing/2014/main" id="{047DC49B-B1EF-BF0F-9E0C-79F3961A06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Oliveira" refreshedDate="46195.5626619213" createdVersion="8" refreshedVersion="8" minRefreshableVersion="3" recordCount="21" xr:uid="{8264207B-5A45-4187-8522-F2649BF078FB}">
  <cacheSource type="worksheet">
    <worksheetSource name="analise_faturamento_anual"/>
  </cacheSource>
  <cacheFields count="7">
    <cacheField name="data_venda" numFmtId="14">
      <sharedItems containsSemiMixedTypes="0" containsNonDate="0" containsDate="1" containsString="0" minDate="2022-01-01T00:00:00" maxDate="2023-09-02T00:00:00" count="21">
        <d v="2022-12-01T00:00:00"/>
        <d v="2023-03-01T00:00:00"/>
        <d v="2023-04-01T00:00:00"/>
        <d v="2023-05-01T00:00:00"/>
        <d v="2023-07-01T00:00:00"/>
        <d v="2023-06-01T00:00:00"/>
        <d v="2023-01-01T00:00:00"/>
        <d v="2022-11-01T00:00:00"/>
        <d v="2022-04-01T00:00:00"/>
        <d v="2022-06-01T00:00:00"/>
        <d v="2023-02-01T00:00:00"/>
        <d v="2022-05-01T00:00:00"/>
        <d v="2023-09-01T00:00:00"/>
        <d v="2022-10-01T00:00:00"/>
        <d v="2022-07-01T00:00:00"/>
        <d v="2023-08-01T00:00:00"/>
        <d v="2022-03-01T00:00:00"/>
        <d v="2022-01-01T00:00:00"/>
        <d v="2022-09-01T00:00:00"/>
        <d v="2022-02-01T00:00:00"/>
        <d v="2022-08-01T00:00:00"/>
      </sharedItems>
      <fieldGroup par="6"/>
    </cacheField>
    <cacheField name="quantidade" numFmtId="0">
      <sharedItems containsSemiMixedTypes="0" containsString="0" containsNumber="1" containsInteger="1" minValue="36935" maxValue="69336"/>
    </cacheField>
    <cacheField name="faturamento_bruto" numFmtId="0">
      <sharedItems containsSemiMixedTypes="0" containsString="0" containsNumber="1" containsInteger="1" minValue="489423" maxValue="883516"/>
    </cacheField>
    <cacheField name="faturamento_liquido" numFmtId="0">
      <sharedItems containsSemiMixedTypes="0" containsString="0" containsNumber="1" containsInteger="1" minValue="158931" maxValue="246078"/>
    </cacheField>
    <cacheField name="Meses (data_venda)" numFmtId="0" databaseField="0">
      <fieldGroup base="0">
        <rangePr groupBy="months" startDate="2022-01-01T00:00:00" endDate="2023-09-02T00:00:00"/>
        <groupItems count="14">
          <s v="&lt;01/01/2022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09/2023"/>
        </groupItems>
      </fieldGroup>
    </cacheField>
    <cacheField name="Trimestres (data_venda)" numFmtId="0" databaseField="0">
      <fieldGroup base="0">
        <rangePr groupBy="quarters" startDate="2022-01-01T00:00:00" endDate="2023-09-02T00:00:00"/>
        <groupItems count="6">
          <s v="&lt;01/01/2022"/>
          <s v="Trim1"/>
          <s v="Trim2"/>
          <s v="Trim3"/>
          <s v="Trim4"/>
          <s v="&gt;02/09/2023"/>
        </groupItems>
      </fieldGroup>
    </cacheField>
    <cacheField name="Anos (data_venda)" numFmtId="0" databaseField="0">
      <fieldGroup base="0">
        <rangePr groupBy="years" startDate="2022-01-01T00:00:00" endDate="2023-09-02T00:00:00"/>
        <groupItems count="4">
          <s v="&lt;01/01/2022"/>
          <s v="2022"/>
          <s v="2023"/>
          <s v="&gt;02/09/2023"/>
        </groupItems>
      </fieldGroup>
    </cacheField>
  </cacheFields>
  <extLst>
    <ext xmlns:x14="http://schemas.microsoft.com/office/spreadsheetml/2009/9/main" uri="{725AE2AE-9491-48be-B2B4-4EB974FC3084}">
      <x14:pivotCacheDefinition pivotCacheId="144390330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Oliveira" refreshedDate="46195.56878159722" createdVersion="8" refreshedVersion="8" minRefreshableVersion="3" recordCount="5" xr:uid="{F10DC10F-2C0C-41AA-AA1A-687836803D9B}">
  <cacheSource type="worksheet">
    <worksheetSource name="analise_categoria"/>
  </cacheSource>
  <cacheFields count="4">
    <cacheField name="categoria" numFmtId="0">
      <sharedItems count="5">
        <s v="Toys"/>
        <s v="Art &amp; Crafts"/>
        <s v="Electronics"/>
        <s v="Games"/>
        <s v="Sports &amp; Outdoors"/>
      </sharedItems>
    </cacheField>
    <cacheField name="quantidade" numFmtId="0">
      <sharedItems containsSemiMixedTypes="0" containsString="0" containsNumber="1" containsInteger="1" minValue="5734" maxValue="25587"/>
    </cacheField>
    <cacheField name="faturamento_bruto" numFmtId="0">
      <sharedItems containsSemiMixedTypes="0" containsString="0" containsNumber="1" containsInteger="1" minValue="101112" maxValue="303200"/>
    </cacheField>
    <cacheField name="faturamento_liquido" numFmtId="0">
      <sharedItems containsSemiMixedTypes="0" containsString="0" containsNumber="1" containsInteger="1" minValue="34682" maxValue="599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Oliveira" refreshedDate="46195.572192708336" createdVersion="8" refreshedVersion="8" minRefreshableVersion="3" recordCount="35" xr:uid="{E71D3F78-88A0-4086-B366-B16667B44467}">
  <cacheSource type="worksheet">
    <worksheetSource name="analise_colorbuds_custo"/>
  </cacheSource>
  <cacheFields count="5">
    <cacheField name="produto" numFmtId="0">
      <sharedItems count="35">
        <s v="Lego Bricks"/>
        <s v="Colorbuds"/>
        <s v="Magic Sand"/>
        <s v="Action Figure"/>
        <s v="Rubik's Cube"/>
        <s v="Deck Of Cards"/>
        <s v="Splash Balls"/>
        <s v="Nerf Gun"/>
        <s v="Animal Figures"/>
        <s v="Dart Gun"/>
        <s v="Kids Makeup Kit"/>
        <s v="Dinosaur Figures"/>
        <s v="Dino Egg"/>
        <s v="Glass Marbles"/>
        <s v="Gamer Headphones"/>
        <s v="Barrel O' Slime"/>
        <s v="Mini Ping Pong Set"/>
        <s v="PlayDoh Can"/>
        <s v="Toy Robot"/>
        <s v="Etch A Sketch"/>
        <s v="PlayDoh Playset"/>
        <s v="Hot Wheels 5-Pack"/>
        <s v="Jenga"/>
        <s v="PlayDoh Toolkit"/>
        <s v="Plush Pony"/>
        <s v="Supersoaker Water Gun"/>
        <s v="Foam Disk Launcher"/>
        <s v="Mr. Potatohead"/>
        <s v="Teddy Bear"/>
        <s v="Monopoly"/>
        <s v="Mini Basketball Hoop"/>
        <s v="Chutes &amp; Ladders"/>
        <s v="Playfoam"/>
        <s v="Classic Dominoes"/>
        <s v="Uno Card Game"/>
      </sharedItems>
    </cacheField>
    <cacheField name="preco_final" numFmtId="0">
      <sharedItems containsSemiMixedTypes="0" containsString="0" containsNumber="1" containsInteger="1" minValue="299" maxValue="3999"/>
    </cacheField>
    <cacheField name="preco_custo" numFmtId="0">
      <sharedItems containsSemiMixedTypes="0" containsString="0" containsNumber="1" containsInteger="1" minValue="199" maxValue="3499"/>
    </cacheField>
    <cacheField name="faturamento_bruto" numFmtId="0">
      <sharedItems containsSemiMixedTypes="0" containsString="0" containsNumber="1" containsInteger="1" minValue="21653" maxValue="2388883"/>
    </cacheField>
    <cacheField name="faturamento_liquido" numFmtId="0">
      <sharedItems containsSemiMixedTypes="0" containsString="0" containsNumber="1" containsInteger="1" minValue="8942" maxValue="8349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n v="66031"/>
    <n v="877204"/>
    <n v="246078"/>
  </r>
  <r>
    <x v="1"/>
    <n v="69336"/>
    <n v="883516"/>
    <n v="231909"/>
  </r>
  <r>
    <x v="2"/>
    <n v="65593"/>
    <n v="827691"/>
    <n v="215096"/>
  </r>
  <r>
    <x v="3"/>
    <n v="63851"/>
    <n v="825319"/>
    <n v="210347"/>
  </r>
  <r>
    <x v="4"/>
    <n v="63614"/>
    <n v="828349"/>
    <n v="209807"/>
  </r>
  <r>
    <x v="5"/>
    <n v="64275"/>
    <n v="808299"/>
    <n v="207212"/>
  </r>
  <r>
    <x v="6"/>
    <n v="56478"/>
    <n v="747196"/>
    <n v="205074"/>
  </r>
  <r>
    <x v="7"/>
    <n v="51185"/>
    <n v="661304"/>
    <n v="192873"/>
  </r>
  <r>
    <x v="8"/>
    <n v="47102"/>
    <n v="681073"/>
    <n v="190099"/>
  </r>
  <r>
    <x v="9"/>
    <n v="47178"/>
    <n v="661980"/>
    <n v="189815"/>
  </r>
  <r>
    <x v="10"/>
    <n v="54581"/>
    <n v="722632"/>
    <n v="189314"/>
  </r>
  <r>
    <x v="11"/>
    <n v="46910"/>
    <n v="672370"/>
    <n v="186894"/>
  </r>
  <r>
    <x v="12"/>
    <n v="52152"/>
    <n v="658194"/>
    <n v="180445"/>
  </r>
  <r>
    <x v="13"/>
    <n v="47861"/>
    <n v="623874"/>
    <n v="178799"/>
  </r>
  <r>
    <x v="14"/>
    <n v="46177"/>
    <n v="556034"/>
    <n v="176922"/>
  </r>
  <r>
    <x v="15"/>
    <n v="51193"/>
    <n v="660877"/>
    <n v="175038"/>
  </r>
  <r>
    <x v="16"/>
    <n v="39981"/>
    <n v="589485"/>
    <n v="173992"/>
  </r>
  <r>
    <x v="17"/>
    <n v="38009"/>
    <n v="542555"/>
    <n v="167126"/>
  </r>
  <r>
    <x v="18"/>
    <n v="42196"/>
    <n v="585844"/>
    <n v="166397"/>
  </r>
  <r>
    <x v="19"/>
    <n v="36935"/>
    <n v="541352"/>
    <n v="161861"/>
  </r>
  <r>
    <x v="20"/>
    <n v="39927"/>
    <n v="489423"/>
    <n v="15893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6117"/>
    <n v="303200"/>
    <n v="59978"/>
  </r>
  <r>
    <x v="1"/>
    <n v="25587"/>
    <n v="205848"/>
    <n v="56064"/>
  </r>
  <r>
    <x v="2"/>
    <n v="5734"/>
    <n v="101112"/>
    <n v="41181"/>
  </r>
  <r>
    <x v="3"/>
    <n v="11541"/>
    <n v="131253"/>
    <n v="40004"/>
  </r>
  <r>
    <x v="4"/>
    <n v="10357"/>
    <n v="142103"/>
    <n v="3468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x v="0"/>
    <n v="3999"/>
    <n v="3499"/>
    <n v="2388883"/>
    <n v="298685"/>
  </r>
  <r>
    <x v="1"/>
    <n v="1499"/>
    <n v="699"/>
    <n v="1564476"/>
    <n v="834944"/>
  </r>
  <r>
    <x v="2"/>
    <n v="1599"/>
    <n v="1399"/>
    <n v="968962"/>
    <n v="121196"/>
  </r>
  <r>
    <x v="3"/>
    <n v="1599"/>
    <n v="999"/>
    <n v="926748"/>
    <n v="347748"/>
  </r>
  <r>
    <x v="4"/>
    <n v="1999"/>
    <n v="1799"/>
    <n v="912983"/>
    <n v="91344"/>
  </r>
  <r>
    <x v="5"/>
    <n v="699"/>
    <n v="399"/>
    <n v="587398"/>
    <n v="252102"/>
  </r>
  <r>
    <x v="6"/>
    <n v="899"/>
    <n v="799"/>
    <n v="541630"/>
    <n v="60248"/>
  </r>
  <r>
    <x v="7"/>
    <n v="1999"/>
    <n v="1499"/>
    <n v="530595"/>
    <n v="132715"/>
  </r>
  <r>
    <x v="8"/>
    <n v="1299"/>
    <n v="999"/>
    <n v="507766"/>
    <n v="117267"/>
  </r>
  <r>
    <x v="9"/>
    <n v="1599"/>
    <n v="1199"/>
    <n v="505092"/>
    <n v="126352"/>
  </r>
  <r>
    <x v="10"/>
    <n v="1999"/>
    <n v="1399"/>
    <n v="488416"/>
    <n v="146598"/>
  </r>
  <r>
    <x v="11"/>
    <n v="1499"/>
    <n v="1099"/>
    <n v="434890"/>
    <n v="116048"/>
  </r>
  <r>
    <x v="12"/>
    <n v="1099"/>
    <n v="999"/>
    <n v="420214"/>
    <n v="38236"/>
  </r>
  <r>
    <x v="13"/>
    <n v="1099"/>
    <n v="599"/>
    <n v="412323"/>
    <n v="187590"/>
  </r>
  <r>
    <x v="14"/>
    <n v="2099"/>
    <n v="1499"/>
    <n v="376938"/>
    <n v="107748"/>
  </r>
  <r>
    <x v="15"/>
    <n v="399"/>
    <n v="199"/>
    <n v="365735"/>
    <n v="183326"/>
  </r>
  <r>
    <x v="16"/>
    <n v="999"/>
    <n v="699"/>
    <n v="335704"/>
    <n v="100812"/>
  </r>
  <r>
    <x v="17"/>
    <n v="299"/>
    <n v="199"/>
    <n v="308353"/>
    <n v="103128"/>
  </r>
  <r>
    <x v="18"/>
    <n v="2599"/>
    <n v="2099"/>
    <n v="305357"/>
    <n v="58745"/>
  </r>
  <r>
    <x v="19"/>
    <n v="2099"/>
    <n v="1099"/>
    <n v="255406"/>
    <n v="121680"/>
  </r>
  <r>
    <x v="20"/>
    <n v="2499"/>
    <n v="2099"/>
    <n v="157387"/>
    <n v="25192"/>
  </r>
  <r>
    <x v="21"/>
    <n v="599"/>
    <n v="399"/>
    <n v="135727"/>
    <n v="45318"/>
  </r>
  <r>
    <x v="22"/>
    <n v="999"/>
    <n v="299"/>
    <n v="130409"/>
    <n v="91378"/>
  </r>
  <r>
    <x v="23"/>
    <n v="499"/>
    <n v="399"/>
    <n v="115409"/>
    <n v="23128"/>
  </r>
  <r>
    <x v="24"/>
    <n v="1999"/>
    <n v="899"/>
    <n v="109705"/>
    <n v="60368"/>
  </r>
  <r>
    <x v="25"/>
    <n v="1499"/>
    <n v="1199"/>
    <n v="101827"/>
    <n v="20379"/>
  </r>
  <r>
    <x v="26"/>
    <n v="1199"/>
    <n v="899"/>
    <n v="91364"/>
    <n v="22860"/>
  </r>
  <r>
    <x v="27"/>
    <n v="999"/>
    <n v="499"/>
    <n v="85964"/>
    <n v="43025"/>
  </r>
  <r>
    <x v="28"/>
    <n v="1299"/>
    <n v="1099"/>
    <n v="83344"/>
    <n v="12832"/>
  </r>
  <r>
    <x v="29"/>
    <n v="1999"/>
    <n v="1399"/>
    <n v="67666"/>
    <n v="20310"/>
  </r>
  <r>
    <x v="30"/>
    <n v="2499"/>
    <n v="899"/>
    <n v="66149"/>
    <n v="42352"/>
  </r>
  <r>
    <x v="31"/>
    <n v="1299"/>
    <n v="999"/>
    <n v="49739"/>
    <n v="11487"/>
  </r>
  <r>
    <x v="32"/>
    <n v="1099"/>
    <n v="399"/>
    <n v="45696"/>
    <n v="29106"/>
  </r>
  <r>
    <x v="33"/>
    <n v="999"/>
    <n v="799"/>
    <n v="44665"/>
    <n v="8942"/>
  </r>
  <r>
    <x v="34"/>
    <n v="799"/>
    <n v="399"/>
    <n v="21653"/>
    <n v="108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EAC299-74DB-4A81-B758-FB8CE0A717FA}" name="Tabela dinâmica8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I5:J11" firstHeaderRow="1" firstDataRow="1" firstDataCol="1"/>
  <pivotFields count="5">
    <pivotField axis="axisRow" showAll="0" measureFilter="1" sortType="descending">
      <items count="36">
        <item x="3"/>
        <item x="8"/>
        <item x="15"/>
        <item x="31"/>
        <item x="33"/>
        <item x="1"/>
        <item x="9"/>
        <item x="5"/>
        <item x="12"/>
        <item x="11"/>
        <item x="19"/>
        <item x="26"/>
        <item x="14"/>
        <item x="13"/>
        <item x="21"/>
        <item x="22"/>
        <item x="10"/>
        <item x="0"/>
        <item x="2"/>
        <item x="30"/>
        <item x="16"/>
        <item x="29"/>
        <item x="27"/>
        <item x="7"/>
        <item x="17"/>
        <item x="20"/>
        <item x="23"/>
        <item x="32"/>
        <item x="24"/>
        <item x="4"/>
        <item x="6"/>
        <item x="25"/>
        <item x="28"/>
        <item x="18"/>
        <item x="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0"/>
  </rowFields>
  <rowItems count="6">
    <i>
      <x v="5"/>
    </i>
    <i>
      <x/>
    </i>
    <i>
      <x v="17"/>
    </i>
    <i>
      <x v="7"/>
    </i>
    <i>
      <x v="13"/>
    </i>
    <i t="grand">
      <x/>
    </i>
  </rowItems>
  <colItems count="1">
    <i/>
  </colItems>
  <dataFields count="1">
    <dataField name="Soma de faturamento_liquido" fld="4" baseField="0" baseItem="0" numFmtId="165"/>
  </dataFields>
  <formats count="2">
    <format dxfId="7">
      <pivotArea outline="0" collapsedLevelsAreSubtotals="1" fieldPosition="0"/>
    </format>
    <format dxfId="6">
      <pivotArea dataOnly="0" labelOnly="1" outline="0" axis="axisValues" fieldPosition="0"/>
    </format>
  </formats>
  <chartFormats count="3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1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1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1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1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1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1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1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1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1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1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1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1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1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1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1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</chartFormats>
  <pivotTableStyleInfo name="PivotStyleLight15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CDD911-F3C1-457F-9CA4-8BB8C0496D7A}" name="Tabela dinâmica7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E5:G11" firstHeaderRow="0" firstDataRow="1" firstDataCol="1"/>
  <pivotFields count="4">
    <pivotField axis="axisRow" showAll="0" sortType="ascending">
      <items count="6">
        <item x="1"/>
        <item x="2"/>
        <item x="3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dataField="1" showAll="0"/>
  </pivotFields>
  <rowFields count="1">
    <field x="0"/>
  </rowFields>
  <rowItems count="6">
    <i>
      <x v="3"/>
    </i>
    <i>
      <x v="2"/>
    </i>
    <i>
      <x v="1"/>
    </i>
    <i>
      <x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faturamento_liquido" fld="3" baseField="0" baseItem="0" numFmtId="165"/>
    <dataField name="Soma de faturamento_bruto" fld="2" baseField="0" baseItem="0"/>
  </dataFields>
  <formats count="2">
    <format dxfId="9">
      <pivotArea outline="0" collapsedLevelsAreSubtotals="1" fieldPosition="0"/>
    </format>
    <format dxfId="8">
      <pivotArea dataOnly="0" labelOnly="1" outline="0" axis="axisValues" fieldPosition="0"/>
    </format>
  </format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A42F6E-BE28-4B2D-BB62-B143B92A5A06}" name="Tabela dinâmica6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5:C15" firstHeaderRow="1" firstDataRow="1" firstDataCol="1"/>
  <pivotFields count="7">
    <pivotField axis="axisRow" numFmtId="14" showAll="0">
      <items count="22">
        <item x="17"/>
        <item x="19"/>
        <item x="16"/>
        <item x="8"/>
        <item x="11"/>
        <item x="9"/>
        <item x="14"/>
        <item x="20"/>
        <item x="18"/>
        <item x="13"/>
        <item x="7"/>
        <item x="0"/>
        <item x="6"/>
        <item x="10"/>
        <item x="1"/>
        <item x="2"/>
        <item x="3"/>
        <item x="5"/>
        <item x="4"/>
        <item x="15"/>
        <item x="12"/>
        <item t="default"/>
      </items>
    </pivotField>
    <pivotField showAll="0"/>
    <pivotField showAll="0"/>
    <pivotField dataField="1" showAll="0"/>
    <pivotField axis="axisRow" showAll="0">
      <items count="15">
        <item sd="0" x="0"/>
        <item x="1"/>
        <item x="2"/>
        <item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4">
    <field x="6"/>
    <field x="5"/>
    <field x="4"/>
    <field x="0"/>
  </rowFields>
  <rowItems count="10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t="grand">
      <x/>
    </i>
  </rowItems>
  <colItems count="1">
    <i/>
  </colItems>
  <dataFields count="1">
    <dataField name="Soma de faturamento_liquido" fld="3" baseField="0" baseItem="0" numFmtId="165"/>
  </dataFields>
  <formats count="2">
    <format dxfId="4">
      <pivotArea outline="0" collapsedLevelsAreSubtotals="1" fieldPosition="0"/>
    </format>
    <format dxfId="5">
      <pivotArea dataOnly="0" labelOnly="1" outline="0" axis="axisValues" fieldPosition="0"/>
    </format>
  </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CE92C99A-4A8B-4847-BDD4-F12FF6900C6F}" autoFormatId="16" applyNumberFormats="0" applyBorderFormats="0" applyFontFormats="0" applyPatternFormats="0" applyAlignmentFormats="0" applyWidthHeightFormats="0">
  <queryTableRefresh nextId="5">
    <queryTableFields count="4">
      <queryTableField id="1" name="data_venda" tableColumnId="1"/>
      <queryTableField id="2" name="quantidade" tableColumnId="2"/>
      <queryTableField id="3" name="faturamento_bruto" tableColumnId="3"/>
      <queryTableField id="4" name="faturamento_liquido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5" xr16:uid="{C966FDF0-E530-4EB2-8DF3-02B74764E9AD}" autoFormatId="16" applyNumberFormats="0" applyBorderFormats="0" applyFontFormats="0" applyPatternFormats="0" applyAlignmentFormats="0" applyWidthHeightFormats="0">
  <queryTableRefresh nextId="5">
    <queryTableFields count="4">
      <queryTableField id="1" name="data_venda" tableColumnId="1"/>
      <queryTableField id="2" name="quantidade" tableColumnId="2"/>
      <queryTableField id="3" name="faturamento_bruto" tableColumnId="3"/>
      <queryTableField id="4" name="faturamento_liquido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7" xr16:uid="{7EAE5187-395D-4FF4-BFDA-AE29A44E5ED0}" autoFormatId="16" applyNumberFormats="0" applyBorderFormats="0" applyFontFormats="0" applyPatternFormats="0" applyAlignmentFormats="0" applyWidthHeightFormats="0">
  <queryTableRefresh nextId="5">
    <queryTableFields count="4">
      <queryTableField id="1" name="categoria" tableColumnId="1"/>
      <queryTableField id="2" name="quantidade" tableColumnId="2"/>
      <queryTableField id="3" name="faturamento_bruto" tableColumnId="3"/>
      <queryTableField id="4" name="faturamento_liquido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9" xr16:uid="{93B02799-B6DA-4F85-8A36-08B6BB20D4D0}" autoFormatId="16" applyNumberFormats="0" applyBorderFormats="0" applyFontFormats="0" applyPatternFormats="0" applyAlignmentFormats="0" applyWidthHeightFormats="0">
  <queryTableRefresh nextId="3">
    <queryTableFields count="2">
      <queryTableField id="1" name="media_bruto" tableColumnId="1"/>
      <queryTableField id="2" name="media_liquido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11" xr16:uid="{B25E95ED-8582-42D5-8F0F-25E6E6285A79}" autoFormatId="16" applyNumberFormats="0" applyBorderFormats="0" applyFontFormats="0" applyPatternFormats="0" applyAlignmentFormats="0" applyWidthHeightFormats="0">
  <queryTableRefresh nextId="3">
    <queryTableFields count="2">
      <queryTableField id="1" name="media_bruto" tableColumnId="1"/>
      <queryTableField id="2" name="media_liquido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13" xr16:uid="{20DA95AB-98F7-49EC-90E0-264CAA00B81B}" autoFormatId="16" applyNumberFormats="0" applyBorderFormats="0" applyFontFormats="0" applyPatternFormats="0" applyAlignmentFormats="0" applyWidthHeightFormats="0">
  <queryTableRefresh nextId="6">
    <queryTableFields count="5">
      <queryTableField id="1" name="produto" tableColumnId="1"/>
      <queryTableField id="2" name="preco_final" tableColumnId="2"/>
      <queryTableField id="3" name="preco_custo" tableColumnId="3"/>
      <queryTableField id="4" name="faturamento_bruto" tableColumnId="4"/>
      <queryTableField id="5" name="faturamento_liquid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F2F6CE7-7492-40F8-B7C5-8D83B0C3DE09}" name="analise_faturamento_anual" displayName="analise_faturamento_anual" ref="B5:E26" tableType="queryTable" totalsRowShown="0">
  <autoFilter ref="B5:E26" xr:uid="{0F2F6CE7-7492-40F8-B7C5-8D83B0C3DE09}"/>
  <tableColumns count="4">
    <tableColumn id="1" xr3:uid="{F47394DD-0C97-4A54-A72D-26318B5F8C63}" uniqueName="1" name="data_venda" queryTableFieldId="1" dataDxfId="12"/>
    <tableColumn id="2" xr3:uid="{9827D91E-2CD2-41FB-954B-E82E30107E95}" uniqueName="2" name="quantidade" queryTableFieldId="2"/>
    <tableColumn id="3" xr3:uid="{68385CFB-419D-453C-AE36-326EBDCCD447}" uniqueName="3" name="faturamento_bruto" queryTableFieldId="3"/>
    <tableColumn id="4" xr3:uid="{3401A7CC-76A8-4A2B-9465-DFD55845D784}" uniqueName="4" name="faturamento_liquido" queryTableFieldId="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BEE50A6-B398-4E9B-80C5-F0EB4D1A1B9F}" name="analise_faturamento" displayName="analise_faturamento" ref="B28:E30" tableType="queryTable" totalsRowShown="0">
  <autoFilter ref="B28:E30" xr:uid="{5BEE50A6-B398-4E9B-80C5-F0EB4D1A1B9F}"/>
  <tableColumns count="4">
    <tableColumn id="1" xr3:uid="{54CC37F5-F5A8-49C2-9F95-F8A757823C6F}" uniqueName="1" name="data_venda" queryTableFieldId="1"/>
    <tableColumn id="2" xr3:uid="{B3F80A6B-2452-48D6-B5C9-7253A3BCA738}" uniqueName="2" name="quantidade" queryTableFieldId="2"/>
    <tableColumn id="3" xr3:uid="{4B516B4E-F5AF-4E95-8B60-39B86A9FB428}" uniqueName="3" name="faturamento_bruto" queryTableFieldId="3"/>
    <tableColumn id="4" xr3:uid="{44F0A15C-1027-4ECE-BDAE-F0BCC62EE878}" uniqueName="4" name="faturamento_liquido" queryTableFieldId="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C7DE5BA-BBE2-40F4-834F-8DC39B14FE80}" name="analise_categoria" displayName="analise_categoria" ref="B32:E37" tableType="queryTable" totalsRowShown="0">
  <autoFilter ref="B32:E37" xr:uid="{EC7DE5BA-BBE2-40F4-834F-8DC39B14FE80}"/>
  <tableColumns count="4">
    <tableColumn id="1" xr3:uid="{39FAE341-C475-45F7-82D0-8801E8B62E9B}" uniqueName="1" name="categoria" queryTableFieldId="1" dataDxfId="11"/>
    <tableColumn id="2" xr3:uid="{91151AE7-9C89-4828-8A1A-E5B1F48182F5}" uniqueName="2" name="quantidade" queryTableFieldId="2"/>
    <tableColumn id="3" xr3:uid="{6492143F-352F-430C-8CA0-0CAD253508A9}" uniqueName="3" name="faturamento_bruto" queryTableFieldId="3"/>
    <tableColumn id="4" xr3:uid="{3723073E-1D0F-473A-8276-C16649BECC34}" uniqueName="4" name="faturamento_liquido" queryTableFieldId="4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FAA8C9C-86FC-4191-A9C6-23A9ED3CD117}" name="analise_media_faturamento" displayName="analise_media_faturamento" ref="B39:C40" tableType="queryTable" totalsRowShown="0">
  <autoFilter ref="B39:C40" xr:uid="{BFAA8C9C-86FC-4191-A9C6-23A9ED3CD117}"/>
  <tableColumns count="2">
    <tableColumn id="1" xr3:uid="{E7711BA0-F71E-4BAA-8014-EF19D9676BD6}" uniqueName="1" name="media_bruto" queryTableFieldId="1"/>
    <tableColumn id="2" xr3:uid="{DE37E0D4-D711-4CEB-B90D-A89BE79BDC5D}" uniqueName="2" name="media_liquido" queryTableFieldId="2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BC98AB3-9B52-4C47-91E0-570787ACC35A}" name="analise_faturamento_media_dia_marco" displayName="analise_faturamento_media_dia_marco" ref="B42:C43" tableType="queryTable" totalsRowShown="0">
  <autoFilter ref="B42:C43" xr:uid="{DBC98AB3-9B52-4C47-91E0-570787ACC35A}"/>
  <tableColumns count="2">
    <tableColumn id="1" xr3:uid="{CAE9D754-9EB4-488E-9CE5-6EC9352D46CF}" uniqueName="1" name="media_bruto" queryTableFieldId="1"/>
    <tableColumn id="2" xr3:uid="{C2712B2B-404F-4BA2-948C-79EF1B76816E}" uniqueName="2" name="media_liquido" queryTableFieldId="2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2483FF8-4554-4546-95F8-BF2994AF81ED}" name="analise_colorbuds_custo" displayName="analise_colorbuds_custo" ref="G5:K40" tableType="queryTable" totalsRowShown="0">
  <autoFilter ref="G5:K40" xr:uid="{82483FF8-4554-4546-95F8-BF2994AF81ED}"/>
  <tableColumns count="5">
    <tableColumn id="1" xr3:uid="{31AFC445-9DC0-4474-B911-EAC7367D4B2F}" uniqueName="1" name="produto" queryTableFieldId="1" dataDxfId="10"/>
    <tableColumn id="2" xr3:uid="{A0F502D5-2DEF-40AF-BC99-F5FE1C23DE78}" uniqueName="2" name="preco_final" queryTableFieldId="2"/>
    <tableColumn id="3" xr3:uid="{446DD2A4-46F4-4253-B1F7-CBCB40997893}" uniqueName="3" name="preco_custo" queryTableFieldId="3"/>
    <tableColumn id="4" xr3:uid="{74C28F02-1515-40A5-BA10-FBE65358B375}" uniqueName="4" name="faturamento_bruto" queryTableFieldId="4"/>
    <tableColumn id="5" xr3:uid="{870D73BA-57FE-4EB8-84FB-B803F6E92C60}" uniqueName="5" name="faturamento_liquido" queryTableFieldId="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99B81-AEDA-40C1-85AA-DB5BB00EA3B9}">
  <dimension ref="A1:Z19"/>
  <sheetViews>
    <sheetView showGridLines="0" tabSelected="1" workbookViewId="0">
      <selection activeCell="J41" sqref="J41"/>
    </sheetView>
  </sheetViews>
  <sheetFormatPr defaultRowHeight="15"/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5" spans="1:26" ht="26.25">
      <c r="B5" s="17" t="s">
        <v>73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8"/>
    </row>
    <row r="6" spans="1:26" ht="18">
      <c r="B6" s="19" t="s">
        <v>74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10"/>
    </row>
    <row r="7" spans="1:26" ht="18">
      <c r="B7" s="19" t="s">
        <v>75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10"/>
    </row>
    <row r="8" spans="1:26" ht="18">
      <c r="B8" s="21" t="s">
        <v>76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10"/>
    </row>
    <row r="9" spans="1:26" ht="18">
      <c r="B9" s="21" t="s">
        <v>77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10"/>
    </row>
    <row r="10" spans="1:26">
      <c r="B10" s="9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10"/>
    </row>
    <row r="11" spans="1:26" ht="20.25">
      <c r="B11" s="22" t="s">
        <v>78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10"/>
    </row>
    <row r="12" spans="1:26">
      <c r="B12" s="9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10"/>
    </row>
    <row r="13" spans="1:26" ht="15.75">
      <c r="B13" s="28" t="s">
        <v>79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10"/>
    </row>
    <row r="14" spans="1:26">
      <c r="B14" s="9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10"/>
    </row>
    <row r="15" spans="1:26" ht="15.75">
      <c r="B15" s="23" t="s">
        <v>80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10"/>
    </row>
    <row r="16" spans="1:26">
      <c r="B16" s="9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10"/>
    </row>
    <row r="17" spans="2:16" ht="15.75">
      <c r="B17" s="24" t="s">
        <v>81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10"/>
    </row>
    <row r="18" spans="2:16">
      <c r="B18" s="9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10"/>
    </row>
    <row r="19" spans="2:16" ht="15.75">
      <c r="B19" s="25" t="s">
        <v>82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7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8EB2-0BEC-4595-BDAE-D8C22406B43A}">
  <dimension ref="A1:Z43"/>
  <sheetViews>
    <sheetView showGridLines="0" workbookViewId="0">
      <selection activeCell="D47" sqref="D47"/>
    </sheetView>
  </sheetViews>
  <sheetFormatPr defaultRowHeight="15"/>
  <cols>
    <col min="2" max="2" width="14.5703125" bestFit="1" customWidth="1"/>
    <col min="3" max="3" width="16.140625" bestFit="1" customWidth="1"/>
    <col min="4" max="4" width="20.42578125" bestFit="1" customWidth="1"/>
    <col min="5" max="5" width="21.85546875" bestFit="1" customWidth="1"/>
    <col min="7" max="7" width="22" bestFit="1" customWidth="1"/>
    <col min="8" max="8" width="13.28515625" bestFit="1" customWidth="1"/>
    <col min="9" max="9" width="14.28515625" bestFit="1" customWidth="1"/>
    <col min="10" max="10" width="20.42578125" bestFit="1" customWidth="1"/>
    <col min="11" max="11" width="21.85546875" bestFit="1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5" spans="1:26">
      <c r="B5" t="s">
        <v>0</v>
      </c>
      <c r="C5" t="s">
        <v>1</v>
      </c>
      <c r="D5" t="s">
        <v>2</v>
      </c>
      <c r="E5" t="s">
        <v>3</v>
      </c>
      <c r="G5" t="s">
        <v>12</v>
      </c>
      <c r="H5" t="s">
        <v>13</v>
      </c>
      <c r="I5" t="s">
        <v>14</v>
      </c>
      <c r="J5" t="s">
        <v>2</v>
      </c>
      <c r="K5" t="s">
        <v>3</v>
      </c>
    </row>
    <row r="6" spans="1:26">
      <c r="B6" s="2">
        <v>44896</v>
      </c>
      <c r="C6">
        <v>66031</v>
      </c>
      <c r="D6">
        <v>877204</v>
      </c>
      <c r="E6">
        <v>246078</v>
      </c>
      <c r="G6" s="3" t="s">
        <v>15</v>
      </c>
      <c r="H6">
        <v>3999</v>
      </c>
      <c r="I6">
        <v>3499</v>
      </c>
      <c r="J6">
        <v>2388883</v>
      </c>
      <c r="K6">
        <v>298685</v>
      </c>
    </row>
    <row r="7" spans="1:26">
      <c r="B7" s="2">
        <v>44986</v>
      </c>
      <c r="C7">
        <v>69336</v>
      </c>
      <c r="D7">
        <v>883516</v>
      </c>
      <c r="E7">
        <v>231909</v>
      </c>
      <c r="G7" s="3" t="s">
        <v>16</v>
      </c>
      <c r="H7">
        <v>1499</v>
      </c>
      <c r="I7">
        <v>699</v>
      </c>
      <c r="J7">
        <v>1564476</v>
      </c>
      <c r="K7">
        <v>834944</v>
      </c>
    </row>
    <row r="8" spans="1:26">
      <c r="B8" s="2">
        <v>45017</v>
      </c>
      <c r="C8">
        <v>65593</v>
      </c>
      <c r="D8">
        <v>827691</v>
      </c>
      <c r="E8">
        <v>215096</v>
      </c>
      <c r="G8" s="3" t="s">
        <v>17</v>
      </c>
      <c r="H8">
        <v>1599</v>
      </c>
      <c r="I8">
        <v>1399</v>
      </c>
      <c r="J8">
        <v>968962</v>
      </c>
      <c r="K8">
        <v>121196</v>
      </c>
    </row>
    <row r="9" spans="1:26">
      <c r="B9" s="2">
        <v>45047</v>
      </c>
      <c r="C9">
        <v>63851</v>
      </c>
      <c r="D9">
        <v>825319</v>
      </c>
      <c r="E9">
        <v>210347</v>
      </c>
      <c r="G9" s="3" t="s">
        <v>18</v>
      </c>
      <c r="H9">
        <v>1599</v>
      </c>
      <c r="I9">
        <v>999</v>
      </c>
      <c r="J9">
        <v>926748</v>
      </c>
      <c r="K9">
        <v>347748</v>
      </c>
    </row>
    <row r="10" spans="1:26">
      <c r="B10" s="2">
        <v>45108</v>
      </c>
      <c r="C10">
        <v>63614</v>
      </c>
      <c r="D10">
        <v>828349</v>
      </c>
      <c r="E10">
        <v>209807</v>
      </c>
      <c r="G10" s="3" t="s">
        <v>19</v>
      </c>
      <c r="H10">
        <v>1999</v>
      </c>
      <c r="I10">
        <v>1799</v>
      </c>
      <c r="J10">
        <v>912983</v>
      </c>
      <c r="K10">
        <v>91344</v>
      </c>
    </row>
    <row r="11" spans="1:26">
      <c r="B11" s="2">
        <v>45078</v>
      </c>
      <c r="C11">
        <v>64275</v>
      </c>
      <c r="D11">
        <v>808299</v>
      </c>
      <c r="E11">
        <v>207212</v>
      </c>
      <c r="G11" s="3" t="s">
        <v>20</v>
      </c>
      <c r="H11">
        <v>699</v>
      </c>
      <c r="I11">
        <v>399</v>
      </c>
      <c r="J11">
        <v>587398</v>
      </c>
      <c r="K11">
        <v>252102</v>
      </c>
    </row>
    <row r="12" spans="1:26">
      <c r="B12" s="2">
        <v>44927</v>
      </c>
      <c r="C12">
        <v>56478</v>
      </c>
      <c r="D12">
        <v>747196</v>
      </c>
      <c r="E12">
        <v>205074</v>
      </c>
      <c r="G12" s="3" t="s">
        <v>21</v>
      </c>
      <c r="H12">
        <v>899</v>
      </c>
      <c r="I12">
        <v>799</v>
      </c>
      <c r="J12">
        <v>541630</v>
      </c>
      <c r="K12">
        <v>60248</v>
      </c>
    </row>
    <row r="13" spans="1:26">
      <c r="B13" s="2">
        <v>44866</v>
      </c>
      <c r="C13">
        <v>51185</v>
      </c>
      <c r="D13">
        <v>661304</v>
      </c>
      <c r="E13">
        <v>192873</v>
      </c>
      <c r="G13" s="3" t="s">
        <v>22</v>
      </c>
      <c r="H13">
        <v>1999</v>
      </c>
      <c r="I13">
        <v>1499</v>
      </c>
      <c r="J13">
        <v>530595</v>
      </c>
      <c r="K13">
        <v>132715</v>
      </c>
    </row>
    <row r="14" spans="1:26">
      <c r="B14" s="2">
        <v>44652</v>
      </c>
      <c r="C14">
        <v>47102</v>
      </c>
      <c r="D14">
        <v>681073</v>
      </c>
      <c r="E14">
        <v>190099</v>
      </c>
      <c r="G14" s="3" t="s">
        <v>23</v>
      </c>
      <c r="H14">
        <v>1299</v>
      </c>
      <c r="I14">
        <v>999</v>
      </c>
      <c r="J14">
        <v>507766</v>
      </c>
      <c r="K14">
        <v>117267</v>
      </c>
    </row>
    <row r="15" spans="1:26">
      <c r="B15" s="2">
        <v>44713</v>
      </c>
      <c r="C15">
        <v>47178</v>
      </c>
      <c r="D15">
        <v>661980</v>
      </c>
      <c r="E15">
        <v>189815</v>
      </c>
      <c r="G15" s="3" t="s">
        <v>24</v>
      </c>
      <c r="H15">
        <v>1599</v>
      </c>
      <c r="I15">
        <v>1199</v>
      </c>
      <c r="J15">
        <v>505092</v>
      </c>
      <c r="K15">
        <v>126352</v>
      </c>
    </row>
    <row r="16" spans="1:26">
      <c r="B16" s="2">
        <v>44958</v>
      </c>
      <c r="C16">
        <v>54581</v>
      </c>
      <c r="D16">
        <v>722632</v>
      </c>
      <c r="E16">
        <v>189314</v>
      </c>
      <c r="G16" s="3" t="s">
        <v>25</v>
      </c>
      <c r="H16">
        <v>1999</v>
      </c>
      <c r="I16">
        <v>1399</v>
      </c>
      <c r="J16">
        <v>488416</v>
      </c>
      <c r="K16">
        <v>146598</v>
      </c>
    </row>
    <row r="17" spans="2:11">
      <c r="B17" s="2">
        <v>44682</v>
      </c>
      <c r="C17">
        <v>46910</v>
      </c>
      <c r="D17">
        <v>672370</v>
      </c>
      <c r="E17">
        <v>186894</v>
      </c>
      <c r="G17" s="3" t="s">
        <v>26</v>
      </c>
      <c r="H17">
        <v>1499</v>
      </c>
      <c r="I17">
        <v>1099</v>
      </c>
      <c r="J17">
        <v>434890</v>
      </c>
      <c r="K17">
        <v>116048</v>
      </c>
    </row>
    <row r="18" spans="2:11">
      <c r="B18" s="2">
        <v>45170</v>
      </c>
      <c r="C18">
        <v>52152</v>
      </c>
      <c r="D18">
        <v>658194</v>
      </c>
      <c r="E18">
        <v>180445</v>
      </c>
      <c r="G18" s="3" t="s">
        <v>27</v>
      </c>
      <c r="H18">
        <v>1099</v>
      </c>
      <c r="I18">
        <v>999</v>
      </c>
      <c r="J18">
        <v>420214</v>
      </c>
      <c r="K18">
        <v>38236</v>
      </c>
    </row>
    <row r="19" spans="2:11">
      <c r="B19" s="2">
        <v>44835</v>
      </c>
      <c r="C19">
        <v>47861</v>
      </c>
      <c r="D19">
        <v>623874</v>
      </c>
      <c r="E19">
        <v>178799</v>
      </c>
      <c r="G19" s="3" t="s">
        <v>28</v>
      </c>
      <c r="H19">
        <v>1099</v>
      </c>
      <c r="I19">
        <v>599</v>
      </c>
      <c r="J19">
        <v>412323</v>
      </c>
      <c r="K19">
        <v>187590</v>
      </c>
    </row>
    <row r="20" spans="2:11">
      <c r="B20" s="2">
        <v>44743</v>
      </c>
      <c r="C20">
        <v>46177</v>
      </c>
      <c r="D20">
        <v>556034</v>
      </c>
      <c r="E20">
        <v>176922</v>
      </c>
      <c r="G20" s="3" t="s">
        <v>29</v>
      </c>
      <c r="H20">
        <v>2099</v>
      </c>
      <c r="I20">
        <v>1499</v>
      </c>
      <c r="J20">
        <v>376938</v>
      </c>
      <c r="K20">
        <v>107748</v>
      </c>
    </row>
    <row r="21" spans="2:11">
      <c r="B21" s="2">
        <v>45139</v>
      </c>
      <c r="C21">
        <v>51193</v>
      </c>
      <c r="D21">
        <v>660877</v>
      </c>
      <c r="E21">
        <v>175038</v>
      </c>
      <c r="G21" s="3" t="s">
        <v>30</v>
      </c>
      <c r="H21">
        <v>399</v>
      </c>
      <c r="I21">
        <v>199</v>
      </c>
      <c r="J21">
        <v>365735</v>
      </c>
      <c r="K21">
        <v>183326</v>
      </c>
    </row>
    <row r="22" spans="2:11">
      <c r="B22" s="2">
        <v>44621</v>
      </c>
      <c r="C22">
        <v>39981</v>
      </c>
      <c r="D22">
        <v>589485</v>
      </c>
      <c r="E22">
        <v>173992</v>
      </c>
      <c r="G22" s="3" t="s">
        <v>31</v>
      </c>
      <c r="H22">
        <v>999</v>
      </c>
      <c r="I22">
        <v>699</v>
      </c>
      <c r="J22">
        <v>335704</v>
      </c>
      <c r="K22">
        <v>100812</v>
      </c>
    </row>
    <row r="23" spans="2:11">
      <c r="B23" s="2">
        <v>44562</v>
      </c>
      <c r="C23">
        <v>38009</v>
      </c>
      <c r="D23">
        <v>542555</v>
      </c>
      <c r="E23">
        <v>167126</v>
      </c>
      <c r="G23" s="3" t="s">
        <v>32</v>
      </c>
      <c r="H23">
        <v>299</v>
      </c>
      <c r="I23">
        <v>199</v>
      </c>
      <c r="J23">
        <v>308353</v>
      </c>
      <c r="K23">
        <v>103128</v>
      </c>
    </row>
    <row r="24" spans="2:11">
      <c r="B24" s="2">
        <v>44805</v>
      </c>
      <c r="C24">
        <v>42196</v>
      </c>
      <c r="D24">
        <v>585844</v>
      </c>
      <c r="E24">
        <v>166397</v>
      </c>
      <c r="G24" s="3" t="s">
        <v>33</v>
      </c>
      <c r="H24">
        <v>2599</v>
      </c>
      <c r="I24">
        <v>2099</v>
      </c>
      <c r="J24">
        <v>305357</v>
      </c>
      <c r="K24">
        <v>58745</v>
      </c>
    </row>
    <row r="25" spans="2:11">
      <c r="B25" s="2">
        <v>44593</v>
      </c>
      <c r="C25">
        <v>36935</v>
      </c>
      <c r="D25">
        <v>541352</v>
      </c>
      <c r="E25">
        <v>161861</v>
      </c>
      <c r="G25" s="3" t="s">
        <v>34</v>
      </c>
      <c r="H25">
        <v>2099</v>
      </c>
      <c r="I25">
        <v>1099</v>
      </c>
      <c r="J25">
        <v>255406</v>
      </c>
      <c r="K25">
        <v>121680</v>
      </c>
    </row>
    <row r="26" spans="2:11">
      <c r="B26" s="2">
        <v>44774</v>
      </c>
      <c r="C26">
        <v>39927</v>
      </c>
      <c r="D26">
        <v>489423</v>
      </c>
      <c r="E26">
        <v>158931</v>
      </c>
      <c r="G26" s="3" t="s">
        <v>35</v>
      </c>
      <c r="H26">
        <v>2499</v>
      </c>
      <c r="I26">
        <v>2099</v>
      </c>
      <c r="J26">
        <v>157387</v>
      </c>
      <c r="K26">
        <v>25192</v>
      </c>
    </row>
    <row r="27" spans="2:11">
      <c r="G27" s="3" t="s">
        <v>36</v>
      </c>
      <c r="H27">
        <v>599</v>
      </c>
      <c r="I27">
        <v>399</v>
      </c>
      <c r="J27">
        <v>135727</v>
      </c>
      <c r="K27">
        <v>45318</v>
      </c>
    </row>
    <row r="28" spans="2:11">
      <c r="B28" t="s">
        <v>0</v>
      </c>
      <c r="C28" t="s">
        <v>1</v>
      </c>
      <c r="D28" t="s">
        <v>2</v>
      </c>
      <c r="E28" t="s">
        <v>3</v>
      </c>
      <c r="G28" s="3" t="s">
        <v>37</v>
      </c>
      <c r="H28">
        <v>999</v>
      </c>
      <c r="I28">
        <v>299</v>
      </c>
      <c r="J28">
        <v>130409</v>
      </c>
      <c r="K28">
        <v>91378</v>
      </c>
    </row>
    <row r="29" spans="2:11">
      <c r="B29">
        <v>2023</v>
      </c>
      <c r="C29">
        <v>541073</v>
      </c>
      <c r="D29">
        <v>6962074</v>
      </c>
      <c r="E29">
        <v>1824242</v>
      </c>
      <c r="G29" s="3" t="s">
        <v>38</v>
      </c>
      <c r="H29">
        <v>499</v>
      </c>
      <c r="I29">
        <v>399</v>
      </c>
      <c r="J29">
        <v>115409</v>
      </c>
      <c r="K29">
        <v>23128</v>
      </c>
    </row>
    <row r="30" spans="2:11">
      <c r="B30">
        <v>2022</v>
      </c>
      <c r="C30">
        <v>549492</v>
      </c>
      <c r="D30">
        <v>7482498</v>
      </c>
      <c r="E30">
        <v>2189787</v>
      </c>
      <c r="G30" s="3" t="s">
        <v>39</v>
      </c>
      <c r="H30">
        <v>1999</v>
      </c>
      <c r="I30">
        <v>899</v>
      </c>
      <c r="J30">
        <v>109705</v>
      </c>
      <c r="K30">
        <v>60368</v>
      </c>
    </row>
    <row r="31" spans="2:11">
      <c r="G31" s="3" t="s">
        <v>40</v>
      </c>
      <c r="H31">
        <v>1499</v>
      </c>
      <c r="I31">
        <v>1199</v>
      </c>
      <c r="J31">
        <v>101827</v>
      </c>
      <c r="K31">
        <v>20379</v>
      </c>
    </row>
    <row r="32" spans="2:11">
      <c r="B32" t="s">
        <v>4</v>
      </c>
      <c r="C32" t="s">
        <v>1</v>
      </c>
      <c r="D32" t="s">
        <v>2</v>
      </c>
      <c r="E32" t="s">
        <v>3</v>
      </c>
      <c r="G32" s="3" t="s">
        <v>41</v>
      </c>
      <c r="H32">
        <v>1199</v>
      </c>
      <c r="I32">
        <v>899</v>
      </c>
      <c r="J32">
        <v>91364</v>
      </c>
      <c r="K32">
        <v>22860</v>
      </c>
    </row>
    <row r="33" spans="2:11">
      <c r="B33" s="3" t="s">
        <v>5</v>
      </c>
      <c r="C33">
        <v>16117</v>
      </c>
      <c r="D33">
        <v>303200</v>
      </c>
      <c r="E33">
        <v>59978</v>
      </c>
      <c r="G33" s="3" t="s">
        <v>42</v>
      </c>
      <c r="H33">
        <v>999</v>
      </c>
      <c r="I33">
        <v>499</v>
      </c>
      <c r="J33">
        <v>85964</v>
      </c>
      <c r="K33">
        <v>43025</v>
      </c>
    </row>
    <row r="34" spans="2:11">
      <c r="B34" s="3" t="s">
        <v>6</v>
      </c>
      <c r="C34">
        <v>25587</v>
      </c>
      <c r="D34">
        <v>205848</v>
      </c>
      <c r="E34">
        <v>56064</v>
      </c>
      <c r="G34" s="3" t="s">
        <v>43</v>
      </c>
      <c r="H34">
        <v>1299</v>
      </c>
      <c r="I34">
        <v>1099</v>
      </c>
      <c r="J34">
        <v>83344</v>
      </c>
      <c r="K34">
        <v>12832</v>
      </c>
    </row>
    <row r="35" spans="2:11">
      <c r="B35" s="3" t="s">
        <v>7</v>
      </c>
      <c r="C35">
        <v>5734</v>
      </c>
      <c r="D35">
        <v>101112</v>
      </c>
      <c r="E35">
        <v>41181</v>
      </c>
      <c r="G35" s="3" t="s">
        <v>44</v>
      </c>
      <c r="H35">
        <v>1999</v>
      </c>
      <c r="I35">
        <v>1399</v>
      </c>
      <c r="J35">
        <v>67666</v>
      </c>
      <c r="K35">
        <v>20310</v>
      </c>
    </row>
    <row r="36" spans="2:11">
      <c r="B36" s="3" t="s">
        <v>8</v>
      </c>
      <c r="C36">
        <v>11541</v>
      </c>
      <c r="D36">
        <v>131253</v>
      </c>
      <c r="E36">
        <v>40004</v>
      </c>
      <c r="G36" s="3" t="s">
        <v>45</v>
      </c>
      <c r="H36">
        <v>2499</v>
      </c>
      <c r="I36">
        <v>899</v>
      </c>
      <c r="J36">
        <v>66149</v>
      </c>
      <c r="K36">
        <v>42352</v>
      </c>
    </row>
    <row r="37" spans="2:11">
      <c r="B37" s="3" t="s">
        <v>9</v>
      </c>
      <c r="C37">
        <v>10357</v>
      </c>
      <c r="D37">
        <v>142103</v>
      </c>
      <c r="E37">
        <v>34682</v>
      </c>
      <c r="G37" s="3" t="s">
        <v>46</v>
      </c>
      <c r="H37">
        <v>1299</v>
      </c>
      <c r="I37">
        <v>999</v>
      </c>
      <c r="J37">
        <v>49739</v>
      </c>
      <c r="K37">
        <v>11487</v>
      </c>
    </row>
    <row r="38" spans="2:11">
      <c r="G38" s="3" t="s">
        <v>47</v>
      </c>
      <c r="H38">
        <v>1099</v>
      </c>
      <c r="I38">
        <v>399</v>
      </c>
      <c r="J38">
        <v>45696</v>
      </c>
      <c r="K38">
        <v>29106</v>
      </c>
    </row>
    <row r="39" spans="2:11">
      <c r="B39" t="s">
        <v>10</v>
      </c>
      <c r="C39" t="s">
        <v>11</v>
      </c>
      <c r="G39" s="3" t="s">
        <v>48</v>
      </c>
      <c r="H39">
        <v>999</v>
      </c>
      <c r="I39">
        <v>799</v>
      </c>
      <c r="J39">
        <v>44665</v>
      </c>
      <c r="K39">
        <v>8942</v>
      </c>
    </row>
    <row r="40" spans="2:11">
      <c r="B40">
        <v>687837</v>
      </c>
      <c r="C40">
        <v>191144</v>
      </c>
      <c r="G40" s="3" t="s">
        <v>49</v>
      </c>
      <c r="H40">
        <v>799</v>
      </c>
      <c r="I40">
        <v>399</v>
      </c>
      <c r="J40">
        <v>21653</v>
      </c>
      <c r="K40">
        <v>10840</v>
      </c>
    </row>
    <row r="42" spans="2:11">
      <c r="B42" t="s">
        <v>10</v>
      </c>
      <c r="C42" t="s">
        <v>11</v>
      </c>
    </row>
    <row r="43" spans="2:11">
      <c r="B43">
        <v>28501</v>
      </c>
      <c r="C43">
        <v>7481</v>
      </c>
    </row>
  </sheetData>
  <pageMargins left="0.511811024" right="0.511811024" top="0.78740157499999996" bottom="0.78740157499999996" header="0.31496062000000002" footer="0.31496062000000002"/>
  <tableParts count="6">
    <tablePart r:id="rId1"/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596C0-4799-43E8-A69C-727521B55952}">
  <dimension ref="A1:Z15"/>
  <sheetViews>
    <sheetView showGridLines="0" workbookViewId="0">
      <selection activeCell="E52" sqref="E52"/>
    </sheetView>
  </sheetViews>
  <sheetFormatPr defaultRowHeight="15"/>
  <cols>
    <col min="1" max="1" width="6.140625" customWidth="1"/>
    <col min="2" max="2" width="18.42578125" bestFit="1" customWidth="1"/>
    <col min="3" max="3" width="29.140625" bestFit="1" customWidth="1"/>
    <col min="4" max="4" width="5.140625" customWidth="1"/>
    <col min="5" max="5" width="18.42578125" bestFit="1" customWidth="1"/>
    <col min="6" max="6" width="28" bestFit="1" customWidth="1"/>
    <col min="7" max="7" width="26.5703125" bestFit="1" customWidth="1"/>
    <col min="8" max="8" width="5.28515625" customWidth="1"/>
    <col min="9" max="9" width="18.42578125" bestFit="1" customWidth="1"/>
    <col min="10" max="10" width="29.140625" bestFit="1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5" spans="1:26">
      <c r="B5" s="4" t="s">
        <v>51</v>
      </c>
      <c r="C5" s="7" t="s">
        <v>50</v>
      </c>
      <c r="E5" s="4" t="s">
        <v>51</v>
      </c>
      <c r="F5" t="s">
        <v>50</v>
      </c>
      <c r="G5" t="s">
        <v>59</v>
      </c>
      <c r="I5" s="4" t="s">
        <v>51</v>
      </c>
      <c r="J5" s="7" t="s">
        <v>50</v>
      </c>
    </row>
    <row r="6" spans="1:26">
      <c r="B6" s="5" t="s">
        <v>53</v>
      </c>
      <c r="C6" s="7">
        <v>2189787</v>
      </c>
      <c r="E6" s="5" t="s">
        <v>9</v>
      </c>
      <c r="F6" s="7">
        <v>34682</v>
      </c>
      <c r="G6" s="7">
        <v>142103</v>
      </c>
      <c r="I6" s="5" t="s">
        <v>16</v>
      </c>
      <c r="J6" s="7">
        <v>834944</v>
      </c>
    </row>
    <row r="7" spans="1:26">
      <c r="B7" s="6" t="s">
        <v>55</v>
      </c>
      <c r="C7" s="7">
        <v>502979</v>
      </c>
      <c r="E7" s="5" t="s">
        <v>8</v>
      </c>
      <c r="F7" s="7">
        <v>40004</v>
      </c>
      <c r="G7" s="7">
        <v>131253</v>
      </c>
      <c r="I7" s="5" t="s">
        <v>18</v>
      </c>
      <c r="J7" s="7">
        <v>347748</v>
      </c>
    </row>
    <row r="8" spans="1:26">
      <c r="B8" s="6" t="s">
        <v>56</v>
      </c>
      <c r="C8" s="7">
        <v>566808</v>
      </c>
      <c r="E8" s="5" t="s">
        <v>7</v>
      </c>
      <c r="F8" s="7">
        <v>41181</v>
      </c>
      <c r="G8" s="7">
        <v>101112</v>
      </c>
      <c r="I8" s="5" t="s">
        <v>15</v>
      </c>
      <c r="J8" s="7">
        <v>298685</v>
      </c>
    </row>
    <row r="9" spans="1:26">
      <c r="B9" s="6" t="s">
        <v>57</v>
      </c>
      <c r="C9" s="7">
        <v>502250</v>
      </c>
      <c r="E9" s="5" t="s">
        <v>6</v>
      </c>
      <c r="F9" s="7">
        <v>56064</v>
      </c>
      <c r="G9" s="7">
        <v>205848</v>
      </c>
      <c r="I9" s="5" t="s">
        <v>20</v>
      </c>
      <c r="J9" s="7">
        <v>252102</v>
      </c>
    </row>
    <row r="10" spans="1:26">
      <c r="B10" s="6" t="s">
        <v>58</v>
      </c>
      <c r="C10" s="7">
        <v>617750</v>
      </c>
      <c r="E10" s="5" t="s">
        <v>5</v>
      </c>
      <c r="F10" s="7">
        <v>59978</v>
      </c>
      <c r="G10" s="7">
        <v>303200</v>
      </c>
      <c r="I10" s="5" t="s">
        <v>28</v>
      </c>
      <c r="J10" s="7">
        <v>187590</v>
      </c>
    </row>
    <row r="11" spans="1:26">
      <c r="B11" s="5" t="s">
        <v>54</v>
      </c>
      <c r="C11" s="7">
        <v>1824242</v>
      </c>
      <c r="E11" s="5" t="s">
        <v>52</v>
      </c>
      <c r="F11" s="7">
        <v>231909</v>
      </c>
      <c r="G11" s="7">
        <v>883516</v>
      </c>
      <c r="I11" s="5" t="s">
        <v>52</v>
      </c>
      <c r="J11" s="7">
        <v>1921069</v>
      </c>
    </row>
    <row r="12" spans="1:26">
      <c r="B12" s="6" t="s">
        <v>55</v>
      </c>
      <c r="C12" s="7">
        <v>626297</v>
      </c>
    </row>
    <row r="13" spans="1:26">
      <c r="B13" s="6" t="s">
        <v>56</v>
      </c>
      <c r="C13" s="7">
        <v>632655</v>
      </c>
    </row>
    <row r="14" spans="1:26">
      <c r="B14" s="6" t="s">
        <v>57</v>
      </c>
      <c r="C14" s="7">
        <v>565290</v>
      </c>
    </row>
    <row r="15" spans="1:26">
      <c r="B15" s="5" t="s">
        <v>52</v>
      </c>
      <c r="C15" s="7">
        <v>4014029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9076C-B691-40B6-92DF-368C5886D688}">
  <dimension ref="A1:Z12"/>
  <sheetViews>
    <sheetView showGridLines="0" workbookViewId="0">
      <selection activeCell="D39" sqref="D39"/>
    </sheetView>
  </sheetViews>
  <sheetFormatPr defaultRowHeight="15"/>
  <cols>
    <col min="2" max="2" width="37.5703125" bestFit="1" customWidth="1"/>
    <col min="3" max="3" width="23" bestFit="1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5" spans="1:26" ht="18.75">
      <c r="B5" s="11" t="s">
        <v>60</v>
      </c>
      <c r="C5" s="12"/>
    </row>
    <row r="6" spans="1:26">
      <c r="B6" s="9"/>
      <c r="C6" s="10"/>
    </row>
    <row r="7" spans="1:26" ht="15.75">
      <c r="B7" s="13" t="s">
        <v>61</v>
      </c>
      <c r="C7" s="14" t="s">
        <v>62</v>
      </c>
    </row>
    <row r="8" spans="1:26" ht="15.75">
      <c r="B8" s="13" t="s">
        <v>63</v>
      </c>
      <c r="C8" s="14" t="s">
        <v>64</v>
      </c>
    </row>
    <row r="9" spans="1:26" ht="15.75">
      <c r="B9" s="13" t="s">
        <v>65</v>
      </c>
      <c r="C9" s="14" t="s">
        <v>66</v>
      </c>
    </row>
    <row r="10" spans="1:26" ht="15.75">
      <c r="B10" s="13" t="s">
        <v>67</v>
      </c>
      <c r="C10" s="14" t="s">
        <v>68</v>
      </c>
    </row>
    <row r="11" spans="1:26" ht="15.75">
      <c r="B11" s="13" t="s">
        <v>69</v>
      </c>
      <c r="C11" s="14" t="s">
        <v>70</v>
      </c>
    </row>
    <row r="12" spans="1:26" ht="15.75">
      <c r="B12" s="15" t="s">
        <v>72</v>
      </c>
      <c r="C12" s="16" t="s">
        <v>71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4DC766-93FD-4EDA-A790-2F6DF7B826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Capa</vt:lpstr>
      <vt:lpstr>Dados Brutos</vt:lpstr>
      <vt:lpstr>Tabelas Dinâmicas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Oliveira Silva</dc:creator>
  <cp:lastModifiedBy>Rodrigo Oliveira Silva</cp:lastModifiedBy>
  <dcterms:created xsi:type="dcterms:W3CDTF">2026-06-22T14:34:18Z</dcterms:created>
  <dcterms:modified xsi:type="dcterms:W3CDTF">2026-06-22T19:26:39Z</dcterms:modified>
</cp:coreProperties>
</file>
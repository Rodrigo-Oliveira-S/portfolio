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 Oliveira\Documents\Analises Prontas para GITHUB\video-game-sales-analise\dashboard\"/>
    </mc:Choice>
  </mc:AlternateContent>
  <xr:revisionPtr revIDLastSave="0" documentId="13_ncr:1_{F9162F99-8DDB-43DA-AA9A-CDCA18DFCDB7}" xr6:coauthVersionLast="47" xr6:coauthVersionMax="47" xr10:uidLastSave="{00000000-0000-0000-0000-000000000000}"/>
  <bookViews>
    <workbookView xWindow="-120" yWindow="-120" windowWidth="20730" windowHeight="11760" xr2:uid="{0076AC9C-AD97-49F5-8A25-89CD66EAE3D3}"/>
  </bookViews>
  <sheets>
    <sheet name="Capa" sheetId="1" r:id="rId1"/>
    <sheet name="Dados Brutos" sheetId="6" r:id="rId2"/>
    <sheet name="Tabelas Dinâmicas" sheetId="3" r:id="rId3"/>
    <sheet name="Dashboard" sheetId="4" r:id="rId4"/>
  </sheets>
  <definedNames>
    <definedName name="DadosExternos_1" localSheetId="1" hidden="1">'Dados Brutos'!$B$7:$E$17</definedName>
    <definedName name="DadosExternos_2" localSheetId="1" hidden="1">'Dados Brutos'!$B$19:$F$29</definedName>
    <definedName name="DadosExternos_3" localSheetId="1" hidden="1">'Dados Brutos'!$B$31:$E$32</definedName>
    <definedName name="DadosExternos_4" localSheetId="1" hidden="1">'Dados Brutos'!$B$34:$C$44</definedName>
    <definedName name="DadosExternos_5" localSheetId="1" hidden="1">'Dados Brutos'!$B$46:$G$66</definedName>
  </definedNames>
  <calcPr calcId="191029"/>
  <pivotCaches>
    <pivotCache cacheId="27" r:id="rId5"/>
    <pivotCache cacheId="31" r:id="rId6"/>
    <pivotCache cacheId="34" r:id="rId7"/>
    <pivotCache cacheId="38" r:id="rId8"/>
    <pivotCache cacheId="4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E1570-9B49-40DE-BB13-9BEE66E258B1}" keepAlive="1" name="Consulta - 01-top-vendidos-mundo" description="Conexão com a consulta '01-top-vendidos-mundo' na pasta de trabalho." type="5" refreshedVersion="8" background="1" saveData="1">
    <dbPr connection="Provider=Microsoft.Mashup.OleDb.1;Data Source=$Workbook$;Location=01-top-vendidos-mundo;Extended Properties=&quot;&quot;" command="SELECT * FROM [01-top-vendidos-mundo]"/>
  </connection>
  <connection id="2" xr16:uid="{07F99550-F4C1-449E-983E-6C6389956F0E}" keepAlive="1" name="Consulta - 02-top-notas-mundo" description="Conexão com a consulta '02-top-notas-mundo' na pasta de trabalho." type="5" refreshedVersion="8" background="1" saveData="1">
    <dbPr connection="Provider=Microsoft.Mashup.OleDb.1;Data Source=$Workbook$;Location=02-top-notas-mundo;Extended Properties=&quot;&quot;" command="SELECT * FROM [02-top-notas-mundo]"/>
  </connection>
  <connection id="3" xr16:uid="{60FA0961-B9DA-4878-8DCA-0ACC2810310E}" keepAlive="1" name="Consulta - 04-regioes-mais-vendem" description="Conexão com a consulta '04-regioes-mais-vendem' na pasta de trabalho." type="5" refreshedVersion="8" background="1" saveData="1">
    <dbPr connection="Provider=Microsoft.Mashup.OleDb.1;Data Source=$Workbook$;Location=04-regioes-mais-vendem;Extended Properties=&quot;&quot;" command="SELECT * FROM [04-regioes-mais-vendem]"/>
  </connection>
  <connection id="4" xr16:uid="{70880348-9E28-42B7-9E31-119F9E940CDF}" keepAlive="1" name="Consulta - 05-top-empresa-venda" description="Conexão com a consulta '05-top-empresa-venda' na pasta de trabalho." type="5" refreshedVersion="8" background="1" saveData="1">
    <dbPr connection="Provider=Microsoft.Mashup.OleDb.1;Data Source=$Workbook$;Location=05-top-empresa-venda;Extended Properties=&quot;&quot;" command="SELECT * FROM [05-top-empresa-venda]"/>
  </connection>
  <connection id="5" xr16:uid="{0A2BECC7-F47F-4B4C-A021-1A3A1A9C3D59}" keepAlive="1" name="Consulta - 06-top-genero-regiao" description="Conexão com a consulta '06-top-genero-regiao' na pasta de trabalho." type="5" refreshedVersion="8" background="1" saveData="1">
    <dbPr connection="Provider=Microsoft.Mashup.OleDb.1;Data Source=$Workbook$;Location=06-top-genero-regiao;Extended Properties=&quot;&quot;" command="SELECT * FROM [06-top-genero-regiao]"/>
  </connection>
</connections>
</file>

<file path=xl/sharedStrings.xml><?xml version="1.0" encoding="utf-8"?>
<sst xmlns="http://schemas.openxmlformats.org/spreadsheetml/2006/main" count="194" uniqueCount="91">
  <si>
    <t>nome_jogo</t>
  </si>
  <si>
    <t>genero</t>
  </si>
  <si>
    <t>empresa</t>
  </si>
  <si>
    <t>copias_vendidas</t>
  </si>
  <si>
    <t>Grand Theft Auto V</t>
  </si>
  <si>
    <t>Action</t>
  </si>
  <si>
    <t>Rockstar Games</t>
  </si>
  <si>
    <t>Call of Duty: Black Ops</t>
  </si>
  <si>
    <t>Shooter</t>
  </si>
  <si>
    <t>Activision</t>
  </si>
  <si>
    <t>Call of Duty: Modern Warfare 3</t>
  </si>
  <si>
    <t>Call of Duty: Ghosts</t>
  </si>
  <si>
    <t>Call of Duty: Black Ops II</t>
  </si>
  <si>
    <t>Call of Duty: Modern Warfare 2</t>
  </si>
  <si>
    <t>Grand Theft Auto IV</t>
  </si>
  <si>
    <t>Call of Duty: Advanced Warfare</t>
  </si>
  <si>
    <t>The Elder Scrolls V: Skyrim</t>
  </si>
  <si>
    <t>Role-Playing</t>
  </si>
  <si>
    <t>Bethesda Softworks</t>
  </si>
  <si>
    <t>Call of Duty 4: Modern Warfare</t>
  </si>
  <si>
    <t>notas</t>
  </si>
  <si>
    <t>Red Dead Redemption: Undead Nightmare</t>
  </si>
  <si>
    <t>Red Dead Redemption 2</t>
  </si>
  <si>
    <t>Action-Adventure</t>
  </si>
  <si>
    <t>Rockstar Games Double Pack: Grand Theft Auto III &amp; Grand Theft Auto Vice City</t>
  </si>
  <si>
    <t>NFL 2K</t>
  </si>
  <si>
    <t>Sports</t>
  </si>
  <si>
    <t>Sega</t>
  </si>
  <si>
    <t>The Orange Box</t>
  </si>
  <si>
    <t>Electronic Arts</t>
  </si>
  <si>
    <t>The Walking Dead: A Telltale Games Series</t>
  </si>
  <si>
    <t>Adventure</t>
  </si>
  <si>
    <t>Telltale Games</t>
  </si>
  <si>
    <t>Undertale</t>
  </si>
  <si>
    <t>Toby Fox</t>
  </si>
  <si>
    <t>copias_america</t>
  </si>
  <si>
    <t>copias_japao</t>
  </si>
  <si>
    <t>copias_europa_africa</t>
  </si>
  <si>
    <t>copias_restante_mundo</t>
  </si>
  <si>
    <t>EA Sports</t>
  </si>
  <si>
    <t>Ubisoft</t>
  </si>
  <si>
    <t>THQ</t>
  </si>
  <si>
    <t>Sony Computer Entertainment</t>
  </si>
  <si>
    <t>Konami</t>
  </si>
  <si>
    <t>Nintendo</t>
  </si>
  <si>
    <t>america_norte</t>
  </si>
  <si>
    <t>japao</t>
  </si>
  <si>
    <t>europa_africa</t>
  </si>
  <si>
    <t>total</t>
  </si>
  <si>
    <t>Misc</t>
  </si>
  <si>
    <t>Racing</t>
  </si>
  <si>
    <t>Platform</t>
  </si>
  <si>
    <t>Fighting</t>
  </si>
  <si>
    <t>Simulation</t>
  </si>
  <si>
    <t>Puzzle</t>
  </si>
  <si>
    <t>Strategy</t>
  </si>
  <si>
    <t>Music</t>
  </si>
  <si>
    <t>MMO</t>
  </si>
  <si>
    <t>Visual Novel</t>
  </si>
  <si>
    <t>Party</t>
  </si>
  <si>
    <t>Sandbox</t>
  </si>
  <si>
    <t>Education</t>
  </si>
  <si>
    <t>Board Game</t>
  </si>
  <si>
    <t>Rótulos de Linha</t>
  </si>
  <si>
    <t>Total Geral</t>
  </si>
  <si>
    <t>Soma de copias_vendidas</t>
  </si>
  <si>
    <t>Média de notas</t>
  </si>
  <si>
    <t>Soma de america_norte</t>
  </si>
  <si>
    <t>Soma de japao</t>
  </si>
  <si>
    <t>Soma de europa_africa</t>
  </si>
  <si>
    <t>Soma de resto_mundo 2</t>
  </si>
  <si>
    <t>Soma de total</t>
  </si>
  <si>
    <t>KPI's da Análise</t>
  </si>
  <si>
    <t>O jogo mais vendido no mundo é Grand Theft Auto V com 48.43 milhões de cópias.</t>
  </si>
  <si>
    <t>Grand Theft Auto IV e Red Dead Redemption: Undead Nightmare empatam com nota 10 pela Metacritic.</t>
  </si>
  <si>
    <t>América do Norte é a região que mais consome esses produtos, com 3.345 milhões de cópias.</t>
  </si>
  <si>
    <t>Activision lidera com 722.77 milhões de cópias, impulsionada pelo catálogo extenso (685 títulos diferentes).</t>
  </si>
  <si>
    <t>América do Norte</t>
  </si>
  <si>
    <t>Japão</t>
  </si>
  <si>
    <t>Europa e África</t>
  </si>
  <si>
    <t>Resto do Mundo</t>
  </si>
  <si>
    <t>resto_mundo</t>
  </si>
  <si>
    <t>Analise de Desempenho - Video Game Sales</t>
  </si>
  <si>
    <t>Analista Responsável: Rodrigo Oliveira</t>
  </si>
  <si>
    <t>Ferramentas Utilizadas: PostgreSQL, Excel e Power Query</t>
  </si>
  <si>
    <t>Fonte de Dados: Maven Analytics (CSV Público)</t>
  </si>
  <si>
    <t>Nota alta não garante vendas: Undead Nightmare (nota 10) vendeu 2.29M, enquanto GTA IV (nota 10) vendeu 21.66M</t>
  </si>
  <si>
    <t>Call of Duty: Ghosts e Black Ops 3 têm notas abaixo de 8.5, mas estão entre os 5 mais vendidos</t>
  </si>
  <si>
    <t>Undertale (nota 9.7) e The Walking Dead (nota 9.7) estão no top 10 notas, mas venderam menos de 1 milhão de cópias cada</t>
  </si>
  <si>
    <t>Rockstar Games tem apenas 2 títulos no top 10, mas ambos com vendas massivas</t>
  </si>
  <si>
    <t>Resumo dos Principais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</si>
</sst>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3"/>
      <name val="Arial"/>
      <family val="2"/>
    </font>
    <font>
      <b/>
      <sz val="20"/>
      <color theme="0"/>
      <name val="Arial 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49" fontId="2" fillId="0" borderId="0" xfId="0" pivotButton="1" applyNumberFormat="1" applyFont="1"/>
    <xf numFmtId="49" fontId="2" fillId="0" borderId="0" xfId="0" applyNumberFormat="1" applyFont="1" applyAlignment="1">
      <alignment horizontal="left"/>
    </xf>
    <xf numFmtId="0" fontId="2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4" fontId="2" fillId="0" borderId="0" xfId="0" applyNumberFormat="1" applyFont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4" fillId="4" borderId="12" xfId="0" applyFont="1" applyFill="1" applyBorder="1"/>
    <xf numFmtId="0" fontId="1" fillId="4" borderId="0" xfId="0" applyFont="1" applyFill="1" applyBorder="1"/>
    <xf numFmtId="0" fontId="1" fillId="4" borderId="13" xfId="0" applyFont="1" applyFill="1" applyBorder="1"/>
    <xf numFmtId="0" fontId="5" fillId="4" borderId="12" xfId="0" applyFont="1" applyFill="1" applyBorder="1"/>
    <xf numFmtId="0" fontId="1" fillId="4" borderId="12" xfId="0" applyFont="1" applyFill="1" applyBorder="1"/>
    <xf numFmtId="0" fontId="6" fillId="4" borderId="12" xfId="0" applyFont="1" applyFill="1" applyBorder="1"/>
    <xf numFmtId="0" fontId="7" fillId="4" borderId="12" xfId="0" applyFont="1" applyFill="1" applyBorder="1"/>
    <xf numFmtId="0" fontId="1" fillId="4" borderId="14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3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2" fillId="5" borderId="4" xfId="0" applyFont="1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</cellXfs>
  <cellStyles count="1">
    <cellStyle name="Normal" xfId="0" builtinId="0"/>
  </cellStyles>
  <dxfs count="67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 Dinâmicas!Tabela dinâmica7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2"/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pt-BR" sz="16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Regiões</a:t>
            </a:r>
            <a:r>
              <a:rPr lang="pt-BR" sz="1600" b="1" baseline="0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com mais vendas</a:t>
            </a:r>
          </a:p>
        </c:rich>
      </c:tx>
      <c:layout>
        <c:manualLayout>
          <c:xMode val="edge"/>
          <c:yMode val="edge"/>
          <c:x val="0.27546499477533959"/>
          <c:y val="1.7927167705124911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2"/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2"/>
            </a:solidFill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/>
          </a:solidFill>
          <a:ln>
            <a:solidFill>
              <a:schemeClr val="tx2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2911929749890793E-2"/>
          <c:y val="0.27246965791576205"/>
          <c:w val="0.96055599735666053"/>
          <c:h val="0.66980098020671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'Tabelas Dinâmicas'!$B$25</c:f>
              <c:strCache>
                <c:ptCount val="1"/>
                <c:pt idx="0">
                  <c:v>América do Norte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900-426C-A0C4-D78323BB49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'Tabelas Dinâmicas'!$B$26</c:f>
              <c:numCache>
                <c:formatCode>General</c:formatCode>
                <c:ptCount val="1"/>
                <c:pt idx="0">
                  <c:v>3345.73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0-426C-A0C4-D78323BB4927}"/>
            </c:ext>
          </c:extLst>
        </c:ser>
        <c:ser>
          <c:idx val="1"/>
          <c:order val="1"/>
          <c:tx>
            <c:strRef>
              <c:f>'Tabelas Dinâmicas'!$C$25</c:f>
              <c:strCache>
                <c:ptCount val="1"/>
                <c:pt idx="0">
                  <c:v>Japão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'Tabelas Dinâmicas'!$C$26</c:f>
              <c:numCache>
                <c:formatCode>General</c:formatCode>
                <c:ptCount val="1"/>
                <c:pt idx="0">
                  <c:v>687.97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0-426C-A0C4-D78323BB4927}"/>
            </c:ext>
          </c:extLst>
        </c:ser>
        <c:ser>
          <c:idx val="2"/>
          <c:order val="2"/>
          <c:tx>
            <c:strRef>
              <c:f>'Tabelas Dinâmicas'!$D$25</c:f>
              <c:strCache>
                <c:ptCount val="1"/>
                <c:pt idx="0">
                  <c:v>Europa e África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'Tabelas Dinâmicas'!$D$26</c:f>
              <c:numCache>
                <c:formatCode>General</c:formatCode>
                <c:ptCount val="1"/>
                <c:pt idx="0">
                  <c:v>1916.94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0-426C-A0C4-D78323BB4927}"/>
            </c:ext>
          </c:extLst>
        </c:ser>
        <c:ser>
          <c:idx val="3"/>
          <c:order val="3"/>
          <c:tx>
            <c:strRef>
              <c:f>'Tabelas Dinâmicas'!$E$25</c:f>
              <c:strCache>
                <c:ptCount val="1"/>
                <c:pt idx="0">
                  <c:v>Resto do Mundo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'Tabelas Dinâmicas'!$B$26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'Tabelas Dinâmicas'!$E$26</c:f>
              <c:numCache>
                <c:formatCode>General</c:formatCode>
                <c:ptCount val="1"/>
                <c:pt idx="0">
                  <c:v>651.19000000000005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00-426C-A0C4-D78323BB49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41179263"/>
        <c:axId val="341180703"/>
      </c:barChart>
      <c:catAx>
        <c:axId val="341179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1180703"/>
        <c:crosses val="autoZero"/>
        <c:auto val="1"/>
        <c:lblAlgn val="ctr"/>
        <c:lblOffset val="100"/>
        <c:noMultiLvlLbl val="0"/>
      </c:catAx>
      <c:valAx>
        <c:axId val="34118070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4117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204074412328552"/>
          <c:y val="0.14975925366518825"/>
          <c:w val="0.58898757854414718"/>
          <c:h val="7.1482463842173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[dashboard.xlsx]Tabelas Dinâmicas!Tabela dinâmica8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Empresas que mais venderam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908772886621813"/>
          <c:y val="9.2121184356096092E-2"/>
          <c:w val="0.53011579451276203"/>
          <c:h val="0.879808648665592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'Tabelas Dinâmicas'!$H$21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Dinâmicas'!$G$22:$G$32</c:f>
              <c:strCache>
                <c:ptCount val="10"/>
                <c:pt idx="0">
                  <c:v>Nintendo</c:v>
                </c:pt>
                <c:pt idx="1">
                  <c:v>Sega</c:v>
                </c:pt>
                <c:pt idx="2">
                  <c:v>Konami</c:v>
                </c:pt>
                <c:pt idx="3">
                  <c:v>Rockstar Games</c:v>
                </c:pt>
                <c:pt idx="4">
                  <c:v>Sony Computer Entertainment</c:v>
                </c:pt>
                <c:pt idx="5">
                  <c:v>THQ</c:v>
                </c:pt>
                <c:pt idx="6">
                  <c:v>Ubisoft</c:v>
                </c:pt>
                <c:pt idx="7">
                  <c:v>EA Sports</c:v>
                </c:pt>
                <c:pt idx="8">
                  <c:v>Electronic Arts</c:v>
                </c:pt>
                <c:pt idx="9">
                  <c:v>Activision</c:v>
                </c:pt>
              </c:strCache>
            </c:strRef>
          </c:cat>
          <c:val>
            <c:numRef>
              <c:f>'Tabelas Dinâmicas'!$H$22:$H$32</c:f>
              <c:numCache>
                <c:formatCode>General</c:formatCode>
                <c:ptCount val="10"/>
                <c:pt idx="0">
                  <c:v>140.80000000000001</c:v>
                </c:pt>
                <c:pt idx="1">
                  <c:v>206.38</c:v>
                </c:pt>
                <c:pt idx="2">
                  <c:v>210.7</c:v>
                </c:pt>
                <c:pt idx="3">
                  <c:v>239.67</c:v>
                </c:pt>
                <c:pt idx="4">
                  <c:v>311.08</c:v>
                </c:pt>
                <c:pt idx="5">
                  <c:v>320.89</c:v>
                </c:pt>
                <c:pt idx="6">
                  <c:v>462.57</c:v>
                </c:pt>
                <c:pt idx="7">
                  <c:v>485.66</c:v>
                </c:pt>
                <c:pt idx="8">
                  <c:v>644.13</c:v>
                </c:pt>
                <c:pt idx="9">
                  <c:v>722.77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1-4A52-B962-B17A0AB53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1173023"/>
        <c:axId val="341169183"/>
      </c:barChart>
      <c:catAx>
        <c:axId val="3411730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41169183"/>
        <c:crosses val="autoZero"/>
        <c:auto val="1"/>
        <c:lblAlgn val="ctr"/>
        <c:lblOffset val="100"/>
        <c:noMultiLvlLbl val="0"/>
      </c:catAx>
      <c:valAx>
        <c:axId val="341169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117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14287</xdr:rowOff>
    </xdr:from>
    <xdr:to>
      <xdr:col>11</xdr:col>
      <xdr:colOff>600075</xdr:colOff>
      <xdr:row>29</xdr:row>
      <xdr:rowOff>180975</xdr:rowOff>
    </xdr:to>
    <xdr:graphicFrame macro="">
      <xdr:nvGraphicFramePr>
        <xdr:cNvPr id="2" name="Regiôes que mais venderam">
          <a:extLst>
            <a:ext uri="{FF2B5EF4-FFF2-40B4-BE49-F238E27FC236}">
              <a16:creationId xmlns:a16="http://schemas.microsoft.com/office/drawing/2014/main" id="{20A9D4AD-9E8E-E92D-CF03-BC1A73F14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276225</xdr:colOff>
      <xdr:row>4</xdr:row>
      <xdr:rowOff>23811</xdr:rowOff>
    </xdr:from>
    <xdr:to>
      <xdr:col>19</xdr:col>
      <xdr:colOff>600075</xdr:colOff>
      <xdr:row>29</xdr:row>
      <xdr:rowOff>171450</xdr:rowOff>
    </xdr:to>
    <xdr:graphicFrame macro="">
      <xdr:nvGraphicFramePr>
        <xdr:cNvPr id="3" name="Empresa que mais vendeu">
          <a:extLst>
            <a:ext uri="{FF2B5EF4-FFF2-40B4-BE49-F238E27FC236}">
              <a16:creationId xmlns:a16="http://schemas.microsoft.com/office/drawing/2014/main" id="{D72E7D3F-F347-0B2D-4F1C-6F2434A41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9.545949652776" createdVersion="8" refreshedVersion="8" minRefreshableVersion="3" recordCount="10" xr:uid="{A3C85717-AE2B-4ECD-A609-871A26D1020D}">
  <cacheSource type="worksheet">
    <worksheetSource name="top_notas_mundo"/>
  </cacheSource>
  <cacheFields count="5">
    <cacheField name="nome_jogo" numFmtId="0">
      <sharedItems count="9">
        <s v="Grand Theft Auto IV"/>
        <s v="Red Dead Redemption: Undead Nightmare"/>
        <s v="Red Dead Redemption 2"/>
        <s v="Rockstar Games Double Pack: Grand Theft Auto III &amp; Grand Theft Auto Vice City"/>
        <s v="Grand Theft Auto V"/>
        <s v="NFL 2K"/>
        <s v="The Orange Box"/>
        <s v="The Walking Dead: A Telltale Games Series"/>
        <s v="Undertale"/>
      </sharedItems>
    </cacheField>
    <cacheField name="genero" numFmtId="0">
      <sharedItems/>
    </cacheField>
    <cacheField name="empresa" numFmtId="0">
      <sharedItems/>
    </cacheField>
    <cacheField name="notas" numFmtId="2">
      <sharedItems containsSemiMixedTypes="0" containsString="0" containsNumber="1" minValue="9.6999999999999993" maxValue="10"/>
    </cacheField>
    <cacheField name="copias_vendidas" numFmtId="0">
      <sharedItems containsSemiMixedTypes="0" containsString="0" containsNumber="1" minValue="0.01" maxValue="21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9.545949884261" createdVersion="8" refreshedVersion="8" minRefreshableVersion="3" recordCount="10" xr:uid="{49EDDE64-2B0A-435A-BFC8-7E7D94CCB4E2}">
  <cacheSource type="worksheet">
    <worksheetSource name="top_vendidos_mundo"/>
  </cacheSource>
  <cacheFields count="4">
    <cacheField name="nome_jogo" numFmtId="0">
      <sharedItems count="10">
        <s v="Grand Theft Auto V"/>
        <s v="Call of Duty: Black Ops"/>
        <s v="Call of Duty: Modern Warfare 3"/>
        <s v="Call of Duty: Ghosts"/>
        <s v="Call of Duty: Black Ops II"/>
        <s v="Call of Duty: Modern Warfare 2"/>
        <s v="Grand Theft Auto IV"/>
        <s v="Call of Duty: Advanced Warfare"/>
        <s v="The Elder Scrolls V: Skyrim"/>
        <s v="Call of Duty 4: Modern Warfare"/>
      </sharedItems>
    </cacheField>
    <cacheField name="genero" numFmtId="0">
      <sharedItems/>
    </cacheField>
    <cacheField name="empresa" numFmtId="0">
      <sharedItems/>
    </cacheField>
    <cacheField name="copias_vendidas" numFmtId="0">
      <sharedItems containsSemiMixedTypes="0" containsString="0" containsNumber="1" minValue="18.329999999999998" maxValue="48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9.54595" createdVersion="8" refreshedVersion="8" minRefreshableVersion="3" recordCount="1" xr:uid="{83471A98-D6FD-45C0-B057-F79839E9187E}">
  <cacheSource type="worksheet">
    <worksheetSource name="regioes_mais_vendem"/>
  </cacheSource>
  <cacheFields count="4">
    <cacheField name="copias_america" numFmtId="0">
      <sharedItems containsSemiMixedTypes="0" containsString="0" containsNumber="1" minValue="3345.73" maxValue="3345.73"/>
    </cacheField>
    <cacheField name="copias_japao" numFmtId="0">
      <sharedItems containsSemiMixedTypes="0" containsString="0" containsNumber="1" minValue="687.97" maxValue="687.97"/>
    </cacheField>
    <cacheField name="copias_europa_africa" numFmtId="0">
      <sharedItems containsSemiMixedTypes="0" containsString="0" containsNumber="1" minValue="1916.94" maxValue="1916.94"/>
    </cacheField>
    <cacheField name="copias_restante_mundo" numFmtId="0">
      <sharedItems containsSemiMixedTypes="0" containsString="0" containsNumber="1" minValue="651.19000000000005" maxValue="651.19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9.545950231484" createdVersion="8" refreshedVersion="8" minRefreshableVersion="3" recordCount="10" xr:uid="{91D3E25A-CE09-4EA5-93EE-9690323D37EB}">
  <cacheSource type="worksheet">
    <worksheetSource name="top_empresa_venda"/>
  </cacheSource>
  <cacheFields count="2">
    <cacheField name="empresa" numFmtId="0">
      <sharedItems count="10">
        <s v="Activision"/>
        <s v="Electronic Arts"/>
        <s v="EA Sports"/>
        <s v="Ubisoft"/>
        <s v="THQ"/>
        <s v="Sony Computer Entertainment"/>
        <s v="Rockstar Games"/>
        <s v="Konami"/>
        <s v="Sega"/>
        <s v="Nintendo"/>
      </sharedItems>
    </cacheField>
    <cacheField name="copias_vendidas" numFmtId="0">
      <sharedItems containsSemiMixedTypes="0" containsString="0" containsNumber="1" minValue="140.80000000000001" maxValue="722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Oliveira" refreshedDate="46199.545950231484" createdVersion="8" refreshedVersion="8" minRefreshableVersion="3" recordCount="20" xr:uid="{C239E596-C135-4276-964D-41BD499DCD94}">
  <cacheSource type="worksheet">
    <worksheetSource name="top_genero_regiao"/>
  </cacheSource>
  <cacheFields count="6">
    <cacheField name="genero" numFmtId="0">
      <sharedItems count="20">
        <s v="Sports"/>
        <s v="Action"/>
        <s v="Shooter"/>
        <s v="Misc"/>
        <s v="Racing"/>
        <s v="Role-Playing"/>
        <s v="Platform"/>
        <s v="Fighting"/>
        <s v="Adventure"/>
        <s v="Simulation"/>
        <s v="Action-Adventure"/>
        <s v="Puzzle"/>
        <s v="Strategy"/>
        <s v="Music"/>
        <s v="MMO"/>
        <s v="Party"/>
        <s v="Visual Novel"/>
        <s v="Sandbox"/>
        <s v="Education"/>
        <s v="Board Game"/>
      </sharedItems>
    </cacheField>
    <cacheField name="america_norte" numFmtId="0">
      <sharedItems containsSemiMixedTypes="0" containsString="0" containsNumber="1" minValue="0.06" maxValue="607.47"/>
    </cacheField>
    <cacheField name="japao" numFmtId="0">
      <sharedItems containsString="0" containsBlank="1" containsNumber="1" minValue="0.04" maxValue="130.56"/>
    </cacheField>
    <cacheField name="europa_africa" numFmtId="0">
      <sharedItems containsSemiMixedTypes="0" containsString="0" containsNumber="1" minValue="7.0000000000000007E-2" maxValue="342.52"/>
    </cacheField>
    <cacheField name="resto_mundo 2" numFmtId="0">
      <sharedItems containsSemiMixedTypes="0" containsString="0" containsNumber="1" minValue="0.02" maxValue="128.19"/>
    </cacheField>
    <cacheField name="total" numFmtId="0">
      <sharedItems containsSemiMixedTypes="0" containsString="0" containsNumber="1" minValue="0.33" maxValue="1187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Action"/>
    <s v="Rockstar Games"/>
    <n v="10"/>
    <n v="21.66"/>
  </r>
  <r>
    <x v="1"/>
    <s v="Action"/>
    <s v="Rockstar Games"/>
    <n v="10"/>
    <n v="2.29"/>
  </r>
  <r>
    <x v="2"/>
    <s v="Action-Adventure"/>
    <s v="Rockstar Games"/>
    <n v="9.8000000000000007"/>
    <n v="13.94"/>
  </r>
  <r>
    <x v="3"/>
    <s v="Action"/>
    <s v="Rockstar Games"/>
    <n v="9.8000000000000007"/>
    <n v="2.4900000000000002"/>
  </r>
  <r>
    <x v="4"/>
    <s v="Action"/>
    <s v="Rockstar Games"/>
    <n v="9.6999999999999993"/>
    <n v="19.39"/>
  </r>
  <r>
    <x v="5"/>
    <s v="Sports"/>
    <s v="Sega"/>
    <n v="9.6999999999999993"/>
    <n v="1.2"/>
  </r>
  <r>
    <x v="3"/>
    <s v="Action"/>
    <s v="Rockstar Games"/>
    <n v="9.6999999999999993"/>
    <n v="1.72"/>
  </r>
  <r>
    <x v="6"/>
    <s v="Shooter"/>
    <s v="Electronic Arts"/>
    <n v="9.6999999999999993"/>
    <n v="1.96"/>
  </r>
  <r>
    <x v="7"/>
    <s v="Adventure"/>
    <s v="Telltale Games"/>
    <n v="9.6999999999999993"/>
    <n v="0.82"/>
  </r>
  <r>
    <x v="8"/>
    <s v="Role-Playing"/>
    <s v="Toby Fox"/>
    <n v="9.6999999999999993"/>
    <n v="0.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Action"/>
    <s v="Rockstar Games"/>
    <n v="48.43"/>
  </r>
  <r>
    <x v="1"/>
    <s v="Shooter"/>
    <s v="Activision"/>
    <n v="30.99"/>
  </r>
  <r>
    <x v="2"/>
    <s v="Shooter"/>
    <s v="Activision"/>
    <n v="30.71"/>
  </r>
  <r>
    <x v="3"/>
    <s v="Shooter"/>
    <s v="Activision"/>
    <n v="28.8"/>
  </r>
  <r>
    <x v="4"/>
    <s v="Shooter"/>
    <s v="Activision"/>
    <n v="28.08"/>
  </r>
  <r>
    <x v="5"/>
    <s v="Shooter"/>
    <s v="Activision"/>
    <n v="25.02"/>
  </r>
  <r>
    <x v="6"/>
    <s v="Action"/>
    <s v="Rockstar Games"/>
    <n v="22.53"/>
  </r>
  <r>
    <x v="7"/>
    <s v="Shooter"/>
    <s v="Activision"/>
    <n v="21.78"/>
  </r>
  <r>
    <x v="8"/>
    <s v="Role-Playing"/>
    <s v="Bethesda Softworks"/>
    <n v="20.51"/>
  </r>
  <r>
    <x v="9"/>
    <s v="Shooter"/>
    <s v="Activision"/>
    <n v="18.32999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3345.73"/>
    <n v="687.97"/>
    <n v="1916.94"/>
    <n v="651.190000000000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722.77"/>
  </r>
  <r>
    <x v="1"/>
    <n v="644.13"/>
  </r>
  <r>
    <x v="2"/>
    <n v="485.66"/>
  </r>
  <r>
    <x v="3"/>
    <n v="462.57"/>
  </r>
  <r>
    <x v="4"/>
    <n v="320.89"/>
  </r>
  <r>
    <x v="5"/>
    <n v="311.08"/>
  </r>
  <r>
    <x v="6"/>
    <n v="239.67"/>
  </r>
  <r>
    <x v="7"/>
    <n v="210.7"/>
  </r>
  <r>
    <x v="8"/>
    <n v="206.38"/>
  </r>
  <r>
    <x v="9"/>
    <n v="140.800000000000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607.47"/>
    <n v="109.27"/>
    <n v="341.92"/>
    <n v="128.19"/>
    <n v="1187.52"/>
  </r>
  <r>
    <x v="1"/>
    <n v="589.69000000000005"/>
    <n v="80.3"/>
    <n v="342.52"/>
    <n v="112.41"/>
    <n v="1125.9100000000001"/>
  </r>
  <r>
    <x v="2"/>
    <n v="528.27"/>
    <n v="33.99"/>
    <n v="324.74"/>
    <n v="108.43"/>
    <n v="995.5"/>
  </r>
  <r>
    <x v="3"/>
    <n v="295.66000000000003"/>
    <n v="56.24"/>
    <n v="146.71"/>
    <n v="58.52"/>
    <n v="557.79999999999995"/>
  </r>
  <r>
    <x v="4"/>
    <n v="269.72000000000003"/>
    <n v="20.23"/>
    <n v="179.14"/>
    <n v="56.44"/>
    <n v="525.75"/>
  </r>
  <r>
    <x v="5"/>
    <n v="171.67"/>
    <n v="130.56"/>
    <n v="91.02"/>
    <n v="33.75"/>
    <n v="426.8"/>
  </r>
  <r>
    <x v="6"/>
    <n v="187.96"/>
    <n v="31.08"/>
    <n v="99.39"/>
    <n v="30.38"/>
    <n v="349.15"/>
  </r>
  <r>
    <x v="7"/>
    <n v="173.96"/>
    <n v="58.61"/>
    <n v="79.84"/>
    <n v="28.65"/>
    <n v="341.13"/>
  </r>
  <r>
    <x v="8"/>
    <n v="157.26"/>
    <n v="46.11"/>
    <n v="91.52"/>
    <n v="30.11"/>
    <n v="325.39"/>
  </r>
  <r>
    <x v="9"/>
    <n v="152.84"/>
    <n v="35.979999999999997"/>
    <n v="86.86"/>
    <n v="24.34"/>
    <n v="300.64999999999998"/>
  </r>
  <r>
    <x v="10"/>
    <n v="65.09"/>
    <n v="5.46"/>
    <n v="59.52"/>
    <n v="18.399999999999999"/>
    <n v="148.52000000000001"/>
  </r>
  <r>
    <x v="11"/>
    <n v="64.36"/>
    <n v="29.27"/>
    <n v="25.78"/>
    <n v="7.38"/>
    <n v="127.28"/>
  </r>
  <r>
    <x v="12"/>
    <n v="47.06"/>
    <n v="36.799999999999997"/>
    <n v="27.05"/>
    <n v="7.29"/>
    <n v="118.31"/>
  </r>
  <r>
    <x v="13"/>
    <n v="25.97"/>
    <n v="5.84"/>
    <n v="15.02"/>
    <n v="4.93"/>
    <n v="51.75"/>
  </r>
  <r>
    <x v="14"/>
    <n v="3.95"/>
    <n v="1.39"/>
    <n v="2.94"/>
    <n v="1.03"/>
    <n v="9.31"/>
  </r>
  <r>
    <x v="15"/>
    <n v="2.67"/>
    <n v="1.19"/>
    <n v="1.81"/>
    <n v="0.52"/>
    <n v="6.21"/>
  </r>
  <r>
    <x v="16"/>
    <n v="0.49"/>
    <n v="5.0599999999999996"/>
    <n v="7.0000000000000007E-2"/>
    <n v="0.13"/>
    <n v="5.78"/>
  </r>
  <r>
    <x v="17"/>
    <n v="0.69"/>
    <n v="0.52"/>
    <n v="0.56000000000000005"/>
    <n v="0.12"/>
    <n v="1.89"/>
  </r>
  <r>
    <x v="18"/>
    <n v="0.68"/>
    <m/>
    <n v="0.2"/>
    <n v="0.08"/>
    <n v="0.97"/>
  </r>
  <r>
    <x v="19"/>
    <n v="0.06"/>
    <n v="0.04"/>
    <n v="0.22"/>
    <n v="0.02"/>
    <n v="0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420BC-3AAE-484D-AA10-15231C8FC62F}" name="Tabela dinâmica9" cacheId="4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36:G57" firstHeaderRow="0" firstDataRow="1" firstDataCol="1"/>
  <pivotFields count="6">
    <pivotField axis="axisRow" showAll="0">
      <items count="21">
        <item x="1"/>
        <item x="10"/>
        <item x="8"/>
        <item x="19"/>
        <item x="18"/>
        <item x="7"/>
        <item x="3"/>
        <item x="14"/>
        <item x="13"/>
        <item x="15"/>
        <item x="6"/>
        <item x="11"/>
        <item x="4"/>
        <item x="5"/>
        <item x="17"/>
        <item x="2"/>
        <item x="9"/>
        <item x="0"/>
        <item x="12"/>
        <item x="1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america_norte" fld="1" baseField="0" baseItem="0"/>
    <dataField name="Soma de japao" fld="2" baseField="0" baseItem="0"/>
    <dataField name="Soma de europa_africa" fld="3" baseField="0" baseItem="0"/>
    <dataField name="Soma de resto_mundo 2" fld="4" baseField="0" baseItem="0"/>
    <dataField name="Soma de total" fld="5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7E928-B668-4CDB-8745-1932441E0153}" name="Tabela dinâmica8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G21:H32" firstHeaderRow="1" firstDataRow="1" firstDataCol="1"/>
  <pivotFields count="2">
    <pivotField axis="axisRow" showAll="0" sortType="ascending">
      <items count="11">
        <item x="0"/>
        <item x="2"/>
        <item x="1"/>
        <item x="7"/>
        <item x="9"/>
        <item x="6"/>
        <item x="8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4"/>
    </i>
    <i>
      <x v="6"/>
    </i>
    <i>
      <x v="3"/>
    </i>
    <i>
      <x v="5"/>
    </i>
    <i>
      <x v="7"/>
    </i>
    <i>
      <x v="8"/>
    </i>
    <i>
      <x v="9"/>
    </i>
    <i>
      <x v="1"/>
    </i>
    <i>
      <x v="2"/>
    </i>
    <i>
      <x/>
    </i>
    <i t="grand">
      <x/>
    </i>
  </rowItems>
  <colItems count="1">
    <i/>
  </colItems>
  <dataFields count="1">
    <dataField name="Soma de copias_vendidas" fld="1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04E5C-A87D-4681-89F9-F8F6641C9EE6}" name="Tabela dinâmica7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5:E26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mérica do Norte" fld="0" baseField="0" baseItem="1"/>
    <dataField name="Japão" fld="1" baseField="0" baseItem="1"/>
    <dataField name="Europa e África" fld="2" baseField="0" baseItem="2"/>
    <dataField name="Resto do Mundo" fld="3" baseField="0" baseItem="3"/>
  </dataFields>
  <formats count="3"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5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8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1170F-1B4E-41FB-B562-E93FAEB6A9A6}" name="Tabela dinâmica6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7:H17" firstHeaderRow="1" firstDataRow="1" firstDataCol="1"/>
  <pivotFields count="5">
    <pivotField axis="axisRow" showAll="0">
      <items count="10">
        <item x="0"/>
        <item x="4"/>
        <item x="5"/>
        <item x="2"/>
        <item x="1"/>
        <item x="3"/>
        <item x="6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édia de notas" fld="3" subtotal="average" baseField="0" baseItem="0" numFmtId="4"/>
  </dataFields>
  <formats count="8">
    <format dxfId="61">
      <pivotArea outline="0" collapsedLevelsAreSubtotals="1" fieldPosition="0"/>
    </format>
    <format dxfId="60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43563-0E3E-4B8B-988A-3446807DB88D}" name="Tabela dinâmica2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:C18" firstHeaderRow="1" firstDataRow="1" firstDataCol="1"/>
  <pivotFields count="4">
    <pivotField axis="axisRow" showAll="0">
      <items count="11">
        <item x="9"/>
        <item x="7"/>
        <item x="1"/>
        <item x="4"/>
        <item x="3"/>
        <item x="5"/>
        <item x="2"/>
        <item x="6"/>
        <item x="0"/>
        <item x="8"/>
        <item t="default"/>
      </items>
    </pivotField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copias_vendidas" fld="3" baseField="0" baseItem="0" numFmtId="2"/>
  </dataFields>
  <formats count="11"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D0B930D-3FDE-4FED-AF38-A671A83477EF}" autoFormatId="16" applyNumberFormats="0" applyBorderFormats="0" applyFontFormats="0" applyPatternFormats="0" applyAlignmentFormats="0" applyWidthHeightFormats="0">
  <queryTableRefresh nextId="5">
    <queryTableFields count="4">
      <queryTableField id="1" name="nome_jogo" tableColumnId="1"/>
      <queryTableField id="2" name="genero" tableColumnId="2"/>
      <queryTableField id="3" name="empresa" tableColumnId="3"/>
      <queryTableField id="4" name="copias_vendida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99F7EAA-1351-433F-A182-6EA23477C874}" autoFormatId="16" applyNumberFormats="0" applyBorderFormats="0" applyFontFormats="0" applyPatternFormats="0" applyAlignmentFormats="0" applyWidthHeightFormats="0">
  <queryTableRefresh nextId="6">
    <queryTableFields count="5">
      <queryTableField id="1" name="nome_jogo" tableColumnId="1"/>
      <queryTableField id="2" name="genero" tableColumnId="2"/>
      <queryTableField id="3" name="empresa" tableColumnId="3"/>
      <queryTableField id="4" name="notas" tableColumnId="4"/>
      <queryTableField id="5" name="copias_vendida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77E65550-00A8-4E73-AD0A-98CEDC816737}" autoFormatId="16" applyNumberFormats="0" applyBorderFormats="0" applyFontFormats="0" applyPatternFormats="0" applyAlignmentFormats="0" applyWidthHeightFormats="0">
  <queryTableRefresh nextId="5">
    <queryTableFields count="4">
      <queryTableField id="1" name="copias_america" tableColumnId="1"/>
      <queryTableField id="2" name="copias_japao" tableColumnId="2"/>
      <queryTableField id="3" name="copias_europa_africa" tableColumnId="3"/>
      <queryTableField id="4" name="copias_restante_mund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0FF81329-832A-4AF1-A4A5-30063F1B139C}" autoFormatId="16" applyNumberFormats="0" applyBorderFormats="0" applyFontFormats="0" applyPatternFormats="0" applyAlignmentFormats="0" applyWidthHeightFormats="0">
  <queryTableRefresh nextId="3">
    <queryTableFields count="2">
      <queryTableField id="1" name="empresa" tableColumnId="1"/>
      <queryTableField id="2" name="copias_vendida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F3B7BE6F-13AB-404E-84DB-7CAA0DD5E1E7}" autoFormatId="16" applyNumberFormats="0" applyBorderFormats="0" applyFontFormats="0" applyPatternFormats="0" applyAlignmentFormats="0" applyWidthHeightFormats="0">
  <queryTableRefresh nextId="11">
    <queryTableFields count="6">
      <queryTableField id="1" name="genero" tableColumnId="1"/>
      <queryTableField id="2" name="america_norte" tableColumnId="2"/>
      <queryTableField id="3" name="japao" tableColumnId="3"/>
      <queryTableField id="4" name="europa_africa" tableColumnId="4"/>
      <queryTableField id="9" name="resto_mundo" tableColumnId="5"/>
      <queryTableField id="6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4F1B9F3-EBA0-4CFB-B587-228FD939066B}" name="top_vendidos_mundo" displayName="top_vendidos_mundo" ref="B7:E17" tableType="queryTable" totalsRowShown="0" headerRowDxfId="55" dataDxfId="54">
  <autoFilter ref="B7:E17" xr:uid="{F4F1B9F3-EBA0-4CFB-B587-228FD939066B}"/>
  <tableColumns count="4">
    <tableColumn id="1" xr3:uid="{3633A25E-54C0-47BB-B9E1-6BBD870FD87F}" uniqueName="1" name="nome_jogo" queryTableFieldId="1" dataDxfId="59"/>
    <tableColumn id="2" xr3:uid="{A7CCC22E-DBC7-4222-935F-EBF0B72897C4}" uniqueName="2" name="genero" queryTableFieldId="2" dataDxfId="58"/>
    <tableColumn id="3" xr3:uid="{00E7E007-8D1A-4A3F-BB3B-16977324F94D}" uniqueName="3" name="empresa" queryTableFieldId="3" dataDxfId="57"/>
    <tableColumn id="4" xr3:uid="{889B8790-05B2-44EA-95B2-486B3C439481}" uniqueName="4" name="copias_vendidas" queryTableFieldId="4" dataDxfId="5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542FF72-405F-4979-A450-916D8F7CB522}" name="top_notas_mundo" displayName="top_notas_mundo" ref="B19:F29" tableType="queryTable" totalsRowShown="0" headerRowDxfId="48" dataDxfId="47">
  <autoFilter ref="B19:F29" xr:uid="{8542FF72-405F-4979-A450-916D8F7CB522}"/>
  <tableColumns count="5">
    <tableColumn id="1" xr3:uid="{FA933B12-7CDE-4BBC-B8D7-DBC6D581F047}" uniqueName="1" name="nome_jogo" queryTableFieldId="1" dataDxfId="53"/>
    <tableColumn id="2" xr3:uid="{D58DFC49-24E4-4C5E-AE4C-AC265553F69B}" uniqueName="2" name="genero" queryTableFieldId="2" dataDxfId="52"/>
    <tableColumn id="3" xr3:uid="{D96AC064-BA02-40C7-846B-222E8442AB30}" uniqueName="3" name="empresa" queryTableFieldId="3" dataDxfId="51"/>
    <tableColumn id="4" xr3:uid="{54AF5B98-1EF2-4856-9070-4362CE329022}" uniqueName="4" name="notas" queryTableFieldId="4" dataDxfId="50"/>
    <tableColumn id="5" xr3:uid="{5248D4D0-0389-4B35-9E3E-956487E0EB29}" uniqueName="5" name="copias_vendidas" queryTableFieldId="5" dataDxfId="4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B44B3A-6B7F-4F82-B48B-CD4FDE6A7513}" name="regioes_mais_vendem" displayName="regioes_mais_vendem" ref="B31:E32" tableType="queryTable" totalsRowShown="0" headerRowDxfId="42" dataDxfId="41">
  <autoFilter ref="B31:E32" xr:uid="{36B44B3A-6B7F-4F82-B48B-CD4FDE6A7513}"/>
  <tableColumns count="4">
    <tableColumn id="1" xr3:uid="{EB28131F-0C5E-48FA-A730-0C555126FCE4}" uniqueName="1" name="copias_america" queryTableFieldId="1" dataDxfId="46"/>
    <tableColumn id="2" xr3:uid="{C2E235B1-AB20-448E-ABDF-BC9A738A74D0}" uniqueName="2" name="copias_japao" queryTableFieldId="2" dataDxfId="45"/>
    <tableColumn id="3" xr3:uid="{E236406D-5D40-4F39-8B89-B6A6644787AF}" uniqueName="3" name="copias_europa_africa" queryTableFieldId="3" dataDxfId="44"/>
    <tableColumn id="4" xr3:uid="{66DC58BA-0CD7-4C2A-95AD-3BABE0CCA146}" uniqueName="4" name="copias_restante_mundo" queryTableFieldId="4" dataDxfId="4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73AD917-5D50-4CF0-881C-313A7FE59B1A}" name="top_empresa_venda" displayName="top_empresa_venda" ref="B34:C44" tableType="queryTable" totalsRowShown="0" headerRowDxfId="38" dataDxfId="37">
  <autoFilter ref="B34:C44" xr:uid="{573AD917-5D50-4CF0-881C-313A7FE59B1A}"/>
  <tableColumns count="2">
    <tableColumn id="1" xr3:uid="{C3BB8CE8-F343-4BCF-8CD4-DCB0FDEB1C61}" uniqueName="1" name="empresa" queryTableFieldId="1" dataDxfId="40"/>
    <tableColumn id="2" xr3:uid="{4E294F3F-801E-4206-88C2-2AC3557C1041}" uniqueName="2" name="copias_vendidas" queryTableFieldId="2" dataDxfId="3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ECF247-93E6-47F8-BA22-A09BF202642E}" name="top_genero_regiao" displayName="top_genero_regiao" ref="B46:G66" tableType="queryTable" totalsRowShown="0" headerRowDxfId="30" dataDxfId="29">
  <autoFilter ref="B46:G66" xr:uid="{78ECF247-93E6-47F8-BA22-A09BF202642E}"/>
  <tableColumns count="6">
    <tableColumn id="1" xr3:uid="{5406C261-2556-4977-84D2-36CE9EB83108}" uniqueName="1" name="genero" queryTableFieldId="1" dataDxfId="36"/>
    <tableColumn id="2" xr3:uid="{5B5ECE1C-3A38-4E5F-A5DB-3AF0B12D0E03}" uniqueName="2" name="america_norte" queryTableFieldId="2" dataDxfId="35"/>
    <tableColumn id="3" xr3:uid="{E1FBBB11-D241-4CF5-B973-74F95A1A5CF7}" uniqueName="3" name="japao" queryTableFieldId="3" dataDxfId="34"/>
    <tableColumn id="4" xr3:uid="{26DA9F7B-006E-4EF7-962F-EB8911A72673}" uniqueName="4" name="europa_africa" queryTableFieldId="4" dataDxfId="33"/>
    <tableColumn id="5" xr3:uid="{B7FC4F4B-68E5-4112-89F0-AC32166CB4E2}" uniqueName="5" name="resto_mundo" queryTableFieldId="9" dataDxfId="32"/>
    <tableColumn id="6" xr3:uid="{A6FB0141-BAA5-44A2-8A94-119C5138522F}" uniqueName="6" name="total" queryTableFieldId="6" dataDxfId="3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C85A-0AA7-4FA4-9EB5-963A30CB5695}">
  <dimension ref="A1:AA21"/>
  <sheetViews>
    <sheetView showGridLines="0" tabSelected="1" workbookViewId="0">
      <selection activeCell="O40" sqref="O40"/>
    </sheetView>
  </sheetViews>
  <sheetFormatPr defaultRowHeight="15"/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6" spans="1:27"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27" ht="26.25">
      <c r="B7" s="15" t="s">
        <v>82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27" ht="18">
      <c r="B8" s="18" t="s">
        <v>83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1:27" ht="18">
      <c r="B9" s="18" t="s">
        <v>84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1:27" ht="18">
      <c r="B10" s="18" t="s">
        <v>85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27"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27" ht="18">
      <c r="B12" s="20" t="s">
        <v>90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1:27">
      <c r="B13" s="19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1:27" ht="15.75">
      <c r="B14" s="21" t="s">
        <v>86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1:27" ht="15.75">
      <c r="B15" s="2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1:27" ht="15.75">
      <c r="B16" s="21" t="s">
        <v>87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2:15" ht="15.75">
      <c r="B17" s="21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2:15" ht="15.75">
      <c r="B18" s="21" t="s">
        <v>88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2:15" ht="15.75">
      <c r="B19" s="21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2:15" ht="15.75">
      <c r="B20" s="21" t="s">
        <v>89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2:1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1AA7-5AC6-4336-B12A-5DDD9FC20014}">
  <dimension ref="A1:AB66"/>
  <sheetViews>
    <sheetView workbookViewId="0">
      <selection activeCell="B46" sqref="B46:G66"/>
    </sheetView>
  </sheetViews>
  <sheetFormatPr defaultRowHeight="15"/>
  <cols>
    <col min="2" max="2" width="77.28515625" bestFit="1" customWidth="1"/>
    <col min="3" max="3" width="20.5703125" bestFit="1" customWidth="1"/>
    <col min="4" max="4" width="25.28515625" bestFit="1" customWidth="1"/>
    <col min="5" max="5" width="28" bestFit="1" customWidth="1"/>
    <col min="6" max="6" width="20.5703125" bestFit="1" customWidth="1"/>
    <col min="7" max="7" width="9" bestFit="1" customWidth="1"/>
    <col min="8" max="8" width="8" bestFit="1" customWidth="1"/>
    <col min="9" max="9" width="7.42578125" bestFit="1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7" spans="1:28">
      <c r="B7" s="4" t="s">
        <v>0</v>
      </c>
      <c r="C7" s="4" t="s">
        <v>1</v>
      </c>
      <c r="D7" s="4" t="s">
        <v>2</v>
      </c>
      <c r="E7" s="4" t="s">
        <v>3</v>
      </c>
    </row>
    <row r="8" spans="1:28">
      <c r="B8" s="4" t="s">
        <v>4</v>
      </c>
      <c r="C8" s="4" t="s">
        <v>5</v>
      </c>
      <c r="D8" s="4" t="s">
        <v>6</v>
      </c>
      <c r="E8" s="4">
        <v>48.43</v>
      </c>
    </row>
    <row r="9" spans="1:28">
      <c r="B9" s="4" t="s">
        <v>7</v>
      </c>
      <c r="C9" s="4" t="s">
        <v>8</v>
      </c>
      <c r="D9" s="4" t="s">
        <v>9</v>
      </c>
      <c r="E9" s="4">
        <v>30.99</v>
      </c>
    </row>
    <row r="10" spans="1:28">
      <c r="B10" s="4" t="s">
        <v>10</v>
      </c>
      <c r="C10" s="4" t="s">
        <v>8</v>
      </c>
      <c r="D10" s="4" t="s">
        <v>9</v>
      </c>
      <c r="E10" s="4">
        <v>30.71</v>
      </c>
    </row>
    <row r="11" spans="1:28">
      <c r="B11" s="4" t="s">
        <v>11</v>
      </c>
      <c r="C11" s="4" t="s">
        <v>8</v>
      </c>
      <c r="D11" s="4" t="s">
        <v>9</v>
      </c>
      <c r="E11" s="4">
        <v>28.8</v>
      </c>
    </row>
    <row r="12" spans="1:28">
      <c r="B12" s="4" t="s">
        <v>12</v>
      </c>
      <c r="C12" s="4" t="s">
        <v>8</v>
      </c>
      <c r="D12" s="4" t="s">
        <v>9</v>
      </c>
      <c r="E12" s="4">
        <v>28.08</v>
      </c>
    </row>
    <row r="13" spans="1:28">
      <c r="B13" s="4" t="s">
        <v>13</v>
      </c>
      <c r="C13" s="4" t="s">
        <v>8</v>
      </c>
      <c r="D13" s="4" t="s">
        <v>9</v>
      </c>
      <c r="E13" s="4">
        <v>25.02</v>
      </c>
    </row>
    <row r="14" spans="1:28">
      <c r="B14" s="4" t="s">
        <v>14</v>
      </c>
      <c r="C14" s="4" t="s">
        <v>5</v>
      </c>
      <c r="D14" s="4" t="s">
        <v>6</v>
      </c>
      <c r="E14" s="4">
        <v>22.53</v>
      </c>
    </row>
    <row r="15" spans="1:28">
      <c r="B15" s="4" t="s">
        <v>15</v>
      </c>
      <c r="C15" s="4" t="s">
        <v>8</v>
      </c>
      <c r="D15" s="4" t="s">
        <v>9</v>
      </c>
      <c r="E15" s="4">
        <v>21.78</v>
      </c>
    </row>
    <row r="16" spans="1:28">
      <c r="B16" s="4" t="s">
        <v>16</v>
      </c>
      <c r="C16" s="4" t="s">
        <v>17</v>
      </c>
      <c r="D16" s="4" t="s">
        <v>18</v>
      </c>
      <c r="E16" s="4">
        <v>20.51</v>
      </c>
    </row>
    <row r="17" spans="2:6">
      <c r="B17" s="4" t="s">
        <v>19</v>
      </c>
      <c r="C17" s="4" t="s">
        <v>8</v>
      </c>
      <c r="D17" s="4" t="s">
        <v>9</v>
      </c>
      <c r="E17" s="4">
        <v>18.329999999999998</v>
      </c>
    </row>
    <row r="19" spans="2:6">
      <c r="B19" s="4" t="s">
        <v>0</v>
      </c>
      <c r="C19" s="4" t="s">
        <v>1</v>
      </c>
      <c r="D19" s="4" t="s">
        <v>2</v>
      </c>
      <c r="E19" s="5" t="s">
        <v>20</v>
      </c>
      <c r="F19" s="4" t="s">
        <v>3</v>
      </c>
    </row>
    <row r="20" spans="2:6">
      <c r="B20" s="4" t="s">
        <v>14</v>
      </c>
      <c r="C20" s="4" t="s">
        <v>5</v>
      </c>
      <c r="D20" s="4" t="s">
        <v>6</v>
      </c>
      <c r="E20" s="5">
        <v>10</v>
      </c>
      <c r="F20" s="4">
        <v>21.66</v>
      </c>
    </row>
    <row r="21" spans="2:6">
      <c r="B21" s="4" t="s">
        <v>21</v>
      </c>
      <c r="C21" s="4" t="s">
        <v>5</v>
      </c>
      <c r="D21" s="4" t="s">
        <v>6</v>
      </c>
      <c r="E21" s="5">
        <v>10</v>
      </c>
      <c r="F21" s="4">
        <v>2.29</v>
      </c>
    </row>
    <row r="22" spans="2:6">
      <c r="B22" s="4" t="s">
        <v>22</v>
      </c>
      <c r="C22" s="4" t="s">
        <v>23</v>
      </c>
      <c r="D22" s="4" t="s">
        <v>6</v>
      </c>
      <c r="E22" s="5">
        <v>9.8000000000000007</v>
      </c>
      <c r="F22" s="4">
        <v>13.94</v>
      </c>
    </row>
    <row r="23" spans="2:6">
      <c r="B23" s="4" t="s">
        <v>24</v>
      </c>
      <c r="C23" s="4" t="s">
        <v>5</v>
      </c>
      <c r="D23" s="4" t="s">
        <v>6</v>
      </c>
      <c r="E23" s="5">
        <v>9.8000000000000007</v>
      </c>
      <c r="F23" s="4">
        <v>2.4900000000000002</v>
      </c>
    </row>
    <row r="24" spans="2:6">
      <c r="B24" s="4" t="s">
        <v>4</v>
      </c>
      <c r="C24" s="4" t="s">
        <v>5</v>
      </c>
      <c r="D24" s="4" t="s">
        <v>6</v>
      </c>
      <c r="E24" s="5">
        <v>9.6999999999999993</v>
      </c>
      <c r="F24" s="4">
        <v>19.39</v>
      </c>
    </row>
    <row r="25" spans="2:6">
      <c r="B25" s="4" t="s">
        <v>25</v>
      </c>
      <c r="C25" s="4" t="s">
        <v>26</v>
      </c>
      <c r="D25" s="4" t="s">
        <v>27</v>
      </c>
      <c r="E25" s="5">
        <v>9.6999999999999993</v>
      </c>
      <c r="F25" s="4">
        <v>1.2</v>
      </c>
    </row>
    <row r="26" spans="2:6">
      <c r="B26" s="4" t="s">
        <v>24</v>
      </c>
      <c r="C26" s="4" t="s">
        <v>5</v>
      </c>
      <c r="D26" s="4" t="s">
        <v>6</v>
      </c>
      <c r="E26" s="5">
        <v>9.6999999999999993</v>
      </c>
      <c r="F26" s="4">
        <v>1.72</v>
      </c>
    </row>
    <row r="27" spans="2:6">
      <c r="B27" s="4" t="s">
        <v>28</v>
      </c>
      <c r="C27" s="4" t="s">
        <v>8</v>
      </c>
      <c r="D27" s="4" t="s">
        <v>29</v>
      </c>
      <c r="E27" s="5">
        <v>9.6999999999999993</v>
      </c>
      <c r="F27" s="4">
        <v>1.96</v>
      </c>
    </row>
    <row r="28" spans="2:6">
      <c r="B28" s="4" t="s">
        <v>30</v>
      </c>
      <c r="C28" s="4" t="s">
        <v>31</v>
      </c>
      <c r="D28" s="4" t="s">
        <v>32</v>
      </c>
      <c r="E28" s="5">
        <v>9.6999999999999993</v>
      </c>
      <c r="F28" s="4">
        <v>0.82</v>
      </c>
    </row>
    <row r="29" spans="2:6">
      <c r="B29" s="4" t="s">
        <v>33</v>
      </c>
      <c r="C29" s="4" t="s">
        <v>17</v>
      </c>
      <c r="D29" s="4" t="s">
        <v>34</v>
      </c>
      <c r="E29" s="5">
        <v>9.6999999999999993</v>
      </c>
      <c r="F29" s="4">
        <v>0.01</v>
      </c>
    </row>
    <row r="31" spans="2:6">
      <c r="B31" s="4" t="s">
        <v>35</v>
      </c>
      <c r="C31" s="4" t="s">
        <v>36</v>
      </c>
      <c r="D31" s="4" t="s">
        <v>37</v>
      </c>
      <c r="E31" s="4" t="s">
        <v>38</v>
      </c>
    </row>
    <row r="32" spans="2:6">
      <c r="B32" s="4">
        <v>3345.73</v>
      </c>
      <c r="C32" s="4">
        <v>687.97</v>
      </c>
      <c r="D32" s="4">
        <v>1916.94</v>
      </c>
      <c r="E32" s="4">
        <v>651.19000000000005</v>
      </c>
    </row>
    <row r="34" spans="2:7">
      <c r="B34" s="4" t="s">
        <v>2</v>
      </c>
      <c r="C34" s="4" t="s">
        <v>3</v>
      </c>
    </row>
    <row r="35" spans="2:7">
      <c r="B35" s="4" t="s">
        <v>9</v>
      </c>
      <c r="C35" s="4">
        <v>722.77</v>
      </c>
    </row>
    <row r="36" spans="2:7">
      <c r="B36" s="4" t="s">
        <v>29</v>
      </c>
      <c r="C36" s="4">
        <v>644.13</v>
      </c>
    </row>
    <row r="37" spans="2:7">
      <c r="B37" s="4" t="s">
        <v>39</v>
      </c>
      <c r="C37" s="4">
        <v>485.66</v>
      </c>
    </row>
    <row r="38" spans="2:7">
      <c r="B38" s="4" t="s">
        <v>40</v>
      </c>
      <c r="C38" s="4">
        <v>462.57</v>
      </c>
    </row>
    <row r="39" spans="2:7">
      <c r="B39" s="4" t="s">
        <v>41</v>
      </c>
      <c r="C39" s="4">
        <v>320.89</v>
      </c>
    </row>
    <row r="40" spans="2:7">
      <c r="B40" s="4" t="s">
        <v>42</v>
      </c>
      <c r="C40" s="4">
        <v>311.08</v>
      </c>
    </row>
    <row r="41" spans="2:7">
      <c r="B41" s="4" t="s">
        <v>6</v>
      </c>
      <c r="C41" s="4">
        <v>239.67</v>
      </c>
    </row>
    <row r="42" spans="2:7">
      <c r="B42" s="4" t="s">
        <v>43</v>
      </c>
      <c r="C42" s="4">
        <v>210.7</v>
      </c>
    </row>
    <row r="43" spans="2:7">
      <c r="B43" s="4" t="s">
        <v>27</v>
      </c>
      <c r="C43" s="4">
        <v>206.38</v>
      </c>
    </row>
    <row r="44" spans="2:7">
      <c r="B44" s="4" t="s">
        <v>44</v>
      </c>
      <c r="C44" s="4">
        <v>140.80000000000001</v>
      </c>
    </row>
    <row r="46" spans="2:7">
      <c r="B46" s="4" t="s">
        <v>1</v>
      </c>
      <c r="C46" s="4" t="s">
        <v>45</v>
      </c>
      <c r="D46" s="4" t="s">
        <v>46</v>
      </c>
      <c r="E46" s="4" t="s">
        <v>47</v>
      </c>
      <c r="F46" s="4" t="s">
        <v>81</v>
      </c>
      <c r="G46" s="4" t="s">
        <v>48</v>
      </c>
    </row>
    <row r="47" spans="2:7">
      <c r="B47" s="4" t="s">
        <v>26</v>
      </c>
      <c r="C47" s="4">
        <v>607.47</v>
      </c>
      <c r="D47" s="4">
        <v>109.27</v>
      </c>
      <c r="E47" s="4">
        <v>341.92</v>
      </c>
      <c r="F47" s="4">
        <v>128.19</v>
      </c>
      <c r="G47" s="4">
        <v>1187.52</v>
      </c>
    </row>
    <row r="48" spans="2:7">
      <c r="B48" s="4" t="s">
        <v>5</v>
      </c>
      <c r="C48" s="4">
        <v>589.69000000000005</v>
      </c>
      <c r="D48" s="4">
        <v>80.3</v>
      </c>
      <c r="E48" s="4">
        <v>342.52</v>
      </c>
      <c r="F48" s="4">
        <v>112.41</v>
      </c>
      <c r="G48" s="4">
        <v>1125.9100000000001</v>
      </c>
    </row>
    <row r="49" spans="2:7">
      <c r="B49" s="4" t="s">
        <v>8</v>
      </c>
      <c r="C49" s="4">
        <v>528.27</v>
      </c>
      <c r="D49" s="4">
        <v>33.99</v>
      </c>
      <c r="E49" s="4">
        <v>324.74</v>
      </c>
      <c r="F49" s="4">
        <v>108.43</v>
      </c>
      <c r="G49" s="4">
        <v>995.5</v>
      </c>
    </row>
    <row r="50" spans="2:7">
      <c r="B50" s="4" t="s">
        <v>49</v>
      </c>
      <c r="C50" s="4">
        <v>295.66000000000003</v>
      </c>
      <c r="D50" s="4">
        <v>56.24</v>
      </c>
      <c r="E50" s="4">
        <v>146.71</v>
      </c>
      <c r="F50" s="4">
        <v>58.52</v>
      </c>
      <c r="G50" s="4">
        <v>557.79999999999995</v>
      </c>
    </row>
    <row r="51" spans="2:7">
      <c r="B51" s="4" t="s">
        <v>50</v>
      </c>
      <c r="C51" s="4">
        <v>269.72000000000003</v>
      </c>
      <c r="D51" s="4">
        <v>20.23</v>
      </c>
      <c r="E51" s="4">
        <v>179.14</v>
      </c>
      <c r="F51" s="4">
        <v>56.44</v>
      </c>
      <c r="G51" s="4">
        <v>525.75</v>
      </c>
    </row>
    <row r="52" spans="2:7">
      <c r="B52" s="4" t="s">
        <v>17</v>
      </c>
      <c r="C52" s="4">
        <v>171.67</v>
      </c>
      <c r="D52" s="4">
        <v>130.56</v>
      </c>
      <c r="E52" s="4">
        <v>91.02</v>
      </c>
      <c r="F52" s="4">
        <v>33.75</v>
      </c>
      <c r="G52" s="4">
        <v>426.8</v>
      </c>
    </row>
    <row r="53" spans="2:7">
      <c r="B53" s="4" t="s">
        <v>51</v>
      </c>
      <c r="C53" s="4">
        <v>187.96</v>
      </c>
      <c r="D53" s="4">
        <v>31.08</v>
      </c>
      <c r="E53" s="4">
        <v>99.39</v>
      </c>
      <c r="F53" s="4">
        <v>30.38</v>
      </c>
      <c r="G53" s="4">
        <v>349.15</v>
      </c>
    </row>
    <row r="54" spans="2:7">
      <c r="B54" s="4" t="s">
        <v>52</v>
      </c>
      <c r="C54" s="4">
        <v>173.96</v>
      </c>
      <c r="D54" s="4">
        <v>58.61</v>
      </c>
      <c r="E54" s="4">
        <v>79.84</v>
      </c>
      <c r="F54" s="4">
        <v>28.65</v>
      </c>
      <c r="G54" s="4">
        <v>341.13</v>
      </c>
    </row>
    <row r="55" spans="2:7">
      <c r="B55" s="4" t="s">
        <v>31</v>
      </c>
      <c r="C55" s="4">
        <v>157.26</v>
      </c>
      <c r="D55" s="4">
        <v>46.11</v>
      </c>
      <c r="E55" s="4">
        <v>91.52</v>
      </c>
      <c r="F55" s="4">
        <v>30.11</v>
      </c>
      <c r="G55" s="4">
        <v>325.39</v>
      </c>
    </row>
    <row r="56" spans="2:7">
      <c r="B56" s="4" t="s">
        <v>53</v>
      </c>
      <c r="C56" s="4">
        <v>152.84</v>
      </c>
      <c r="D56" s="4">
        <v>35.979999999999997</v>
      </c>
      <c r="E56" s="4">
        <v>86.86</v>
      </c>
      <c r="F56" s="4">
        <v>24.34</v>
      </c>
      <c r="G56" s="4">
        <v>300.64999999999998</v>
      </c>
    </row>
    <row r="57" spans="2:7">
      <c r="B57" s="4" t="s">
        <v>23</v>
      </c>
      <c r="C57" s="4">
        <v>65.09</v>
      </c>
      <c r="D57" s="4">
        <v>5.46</v>
      </c>
      <c r="E57" s="4">
        <v>59.52</v>
      </c>
      <c r="F57" s="4">
        <v>18.399999999999999</v>
      </c>
      <c r="G57" s="4">
        <v>148.52000000000001</v>
      </c>
    </row>
    <row r="58" spans="2:7">
      <c r="B58" s="4" t="s">
        <v>54</v>
      </c>
      <c r="C58" s="4">
        <v>64.36</v>
      </c>
      <c r="D58" s="4">
        <v>29.27</v>
      </c>
      <c r="E58" s="4">
        <v>25.78</v>
      </c>
      <c r="F58" s="4">
        <v>7.38</v>
      </c>
      <c r="G58" s="4">
        <v>127.28</v>
      </c>
    </row>
    <row r="59" spans="2:7">
      <c r="B59" s="4" t="s">
        <v>55</v>
      </c>
      <c r="C59" s="4">
        <v>47.06</v>
      </c>
      <c r="D59" s="4">
        <v>36.799999999999997</v>
      </c>
      <c r="E59" s="4">
        <v>27.05</v>
      </c>
      <c r="F59" s="4">
        <v>7.29</v>
      </c>
      <c r="G59" s="4">
        <v>118.31</v>
      </c>
    </row>
    <row r="60" spans="2:7">
      <c r="B60" s="4" t="s">
        <v>56</v>
      </c>
      <c r="C60" s="4">
        <v>25.97</v>
      </c>
      <c r="D60" s="4">
        <v>5.84</v>
      </c>
      <c r="E60" s="4">
        <v>15.02</v>
      </c>
      <c r="F60" s="4">
        <v>4.93</v>
      </c>
      <c r="G60" s="4">
        <v>51.75</v>
      </c>
    </row>
    <row r="61" spans="2:7">
      <c r="B61" s="4" t="s">
        <v>57</v>
      </c>
      <c r="C61" s="4">
        <v>3.95</v>
      </c>
      <c r="D61" s="4">
        <v>1.39</v>
      </c>
      <c r="E61" s="4">
        <v>2.94</v>
      </c>
      <c r="F61" s="4">
        <v>1.03</v>
      </c>
      <c r="G61" s="4">
        <v>9.31</v>
      </c>
    </row>
    <row r="62" spans="2:7">
      <c r="B62" s="4" t="s">
        <v>59</v>
      </c>
      <c r="C62" s="4">
        <v>2.67</v>
      </c>
      <c r="D62" s="4">
        <v>1.19</v>
      </c>
      <c r="E62" s="4">
        <v>1.81</v>
      </c>
      <c r="F62" s="4">
        <v>0.52</v>
      </c>
      <c r="G62" s="4">
        <v>6.21</v>
      </c>
    </row>
    <row r="63" spans="2:7">
      <c r="B63" s="4" t="s">
        <v>58</v>
      </c>
      <c r="C63" s="4">
        <v>0.49</v>
      </c>
      <c r="D63" s="4">
        <v>5.0599999999999996</v>
      </c>
      <c r="E63" s="4">
        <v>7.0000000000000007E-2</v>
      </c>
      <c r="F63" s="4">
        <v>0.13</v>
      </c>
      <c r="G63" s="4">
        <v>5.78</v>
      </c>
    </row>
    <row r="64" spans="2:7">
      <c r="B64" s="4" t="s">
        <v>60</v>
      </c>
      <c r="C64" s="4">
        <v>0.69</v>
      </c>
      <c r="D64" s="4">
        <v>0.52</v>
      </c>
      <c r="E64" s="4">
        <v>0.56000000000000005</v>
      </c>
      <c r="F64" s="4">
        <v>0.12</v>
      </c>
      <c r="G64" s="4">
        <v>1.89</v>
      </c>
    </row>
    <row r="65" spans="2:7">
      <c r="B65" s="4" t="s">
        <v>61</v>
      </c>
      <c r="C65" s="4">
        <v>0.68</v>
      </c>
      <c r="D65" s="4"/>
      <c r="E65" s="4">
        <v>0.2</v>
      </c>
      <c r="F65" s="4">
        <v>0.08</v>
      </c>
      <c r="G65" s="4">
        <v>0.97</v>
      </c>
    </row>
    <row r="66" spans="2:7">
      <c r="B66" s="4" t="s">
        <v>62</v>
      </c>
      <c r="C66" s="4">
        <v>0.06</v>
      </c>
      <c r="D66" s="4">
        <v>0.04</v>
      </c>
      <c r="E66" s="4">
        <v>0.22</v>
      </c>
      <c r="F66" s="4">
        <v>0.02</v>
      </c>
      <c r="G66" s="4">
        <v>0.33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282A-1299-4D01-AC6B-52D3AA26051B}">
  <dimension ref="A1:Z57"/>
  <sheetViews>
    <sheetView zoomScaleNormal="100" workbookViewId="0">
      <selection activeCell="G81" sqref="G81"/>
    </sheetView>
  </sheetViews>
  <sheetFormatPr defaultRowHeight="15"/>
  <cols>
    <col min="2" max="2" width="30.85546875" bestFit="1" customWidth="1"/>
    <col min="3" max="3" width="26.140625" bestFit="1" customWidth="1"/>
    <col min="4" max="4" width="15.42578125" bestFit="1" customWidth="1"/>
    <col min="5" max="5" width="23.140625" bestFit="1" customWidth="1"/>
    <col min="6" max="6" width="24.42578125" bestFit="1" customWidth="1"/>
    <col min="7" max="7" width="77.28515625" bestFit="1" customWidth="1"/>
    <col min="8" max="8" width="26.140625" bestFit="1" customWidth="1"/>
    <col min="9" max="9" width="28.42578125" bestFit="1" customWidth="1"/>
    <col min="10" max="10" width="24.42578125" bestFit="1" customWidth="1"/>
    <col min="14" max="14" width="70.85546875" bestFit="1" customWidth="1"/>
    <col min="15" max="15" width="14.28515625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7" spans="1:26">
      <c r="B7" s="6" t="s">
        <v>63</v>
      </c>
      <c r="C7" s="5" t="s">
        <v>65</v>
      </c>
      <c r="E7" s="3"/>
      <c r="G7" s="9" t="s">
        <v>63</v>
      </c>
      <c r="H7" s="11" t="s">
        <v>66</v>
      </c>
    </row>
    <row r="8" spans="1:26">
      <c r="B8" s="7" t="s">
        <v>19</v>
      </c>
      <c r="C8" s="5">
        <v>18.329999999999998</v>
      </c>
      <c r="E8" s="3"/>
      <c r="G8" s="10" t="s">
        <v>14</v>
      </c>
      <c r="H8" s="11">
        <v>10</v>
      </c>
    </row>
    <row r="9" spans="1:26">
      <c r="B9" s="7" t="s">
        <v>15</v>
      </c>
      <c r="C9" s="5">
        <v>21.78</v>
      </c>
      <c r="E9" s="3"/>
      <c r="G9" s="10" t="s">
        <v>4</v>
      </c>
      <c r="H9" s="11">
        <v>9.6999999999999993</v>
      </c>
    </row>
    <row r="10" spans="1:26">
      <c r="B10" s="7" t="s">
        <v>7</v>
      </c>
      <c r="C10" s="5">
        <v>30.99</v>
      </c>
      <c r="E10" s="3"/>
      <c r="G10" s="10" t="s">
        <v>25</v>
      </c>
      <c r="H10" s="11">
        <v>9.6999999999999993</v>
      </c>
    </row>
    <row r="11" spans="1:26">
      <c r="B11" s="7" t="s">
        <v>12</v>
      </c>
      <c r="C11" s="5">
        <v>28.08</v>
      </c>
      <c r="E11" s="3"/>
      <c r="G11" s="10" t="s">
        <v>22</v>
      </c>
      <c r="H11" s="11">
        <v>9.8000000000000007</v>
      </c>
    </row>
    <row r="12" spans="1:26">
      <c r="B12" s="7" t="s">
        <v>11</v>
      </c>
      <c r="C12" s="5">
        <v>28.8</v>
      </c>
      <c r="E12" s="3"/>
      <c r="G12" s="10" t="s">
        <v>21</v>
      </c>
      <c r="H12" s="11">
        <v>10</v>
      </c>
    </row>
    <row r="13" spans="1:26">
      <c r="B13" s="7" t="s">
        <v>13</v>
      </c>
      <c r="C13" s="5">
        <v>25.02</v>
      </c>
      <c r="E13" s="3"/>
      <c r="G13" s="10" t="s">
        <v>24</v>
      </c>
      <c r="H13" s="11">
        <v>9.75</v>
      </c>
    </row>
    <row r="14" spans="1:26">
      <c r="B14" s="7" t="s">
        <v>10</v>
      </c>
      <c r="C14" s="5">
        <v>30.71</v>
      </c>
      <c r="E14" s="3"/>
      <c r="G14" s="10" t="s">
        <v>28</v>
      </c>
      <c r="H14" s="11">
        <v>9.6999999999999993</v>
      </c>
    </row>
    <row r="15" spans="1:26">
      <c r="B15" s="7" t="s">
        <v>14</v>
      </c>
      <c r="C15" s="5">
        <v>22.53</v>
      </c>
      <c r="E15" s="3"/>
      <c r="G15" s="10" t="s">
        <v>30</v>
      </c>
      <c r="H15" s="11">
        <v>9.6999999999999993</v>
      </c>
    </row>
    <row r="16" spans="1:26">
      <c r="B16" s="7" t="s">
        <v>4</v>
      </c>
      <c r="C16" s="5">
        <v>48.43</v>
      </c>
      <c r="E16" s="3"/>
      <c r="G16" s="10" t="s">
        <v>33</v>
      </c>
      <c r="H16" s="11">
        <v>9.6999999999999993</v>
      </c>
    </row>
    <row r="17" spans="2:8">
      <c r="B17" s="7" t="s">
        <v>16</v>
      </c>
      <c r="C17" s="5">
        <v>20.51</v>
      </c>
      <c r="E17" s="3"/>
      <c r="G17" s="10" t="s">
        <v>64</v>
      </c>
      <c r="H17" s="11">
        <v>9.7800000000000011</v>
      </c>
    </row>
    <row r="18" spans="2:8">
      <c r="B18" s="7" t="s">
        <v>64</v>
      </c>
      <c r="C18" s="5">
        <v>275.18</v>
      </c>
    </row>
    <row r="21" spans="2:8">
      <c r="G21" s="9" t="s">
        <v>63</v>
      </c>
      <c r="H21" s="4" t="s">
        <v>65</v>
      </c>
    </row>
    <row r="22" spans="2:8">
      <c r="G22" s="10" t="s">
        <v>44</v>
      </c>
      <c r="H22" s="8">
        <v>140.80000000000001</v>
      </c>
    </row>
    <row r="23" spans="2:8">
      <c r="G23" s="10" t="s">
        <v>27</v>
      </c>
      <c r="H23" s="8">
        <v>206.38</v>
      </c>
    </row>
    <row r="24" spans="2:8">
      <c r="G24" s="10" t="s">
        <v>43</v>
      </c>
      <c r="H24" s="8">
        <v>210.7</v>
      </c>
    </row>
    <row r="25" spans="2:8">
      <c r="B25" s="4" t="s">
        <v>77</v>
      </c>
      <c r="C25" s="4" t="s">
        <v>78</v>
      </c>
      <c r="D25" s="4" t="s">
        <v>79</v>
      </c>
      <c r="E25" s="4" t="s">
        <v>80</v>
      </c>
      <c r="G25" s="10" t="s">
        <v>6</v>
      </c>
      <c r="H25" s="8">
        <v>239.67</v>
      </c>
    </row>
    <row r="26" spans="2:8">
      <c r="B26" s="8">
        <v>3345.73</v>
      </c>
      <c r="C26" s="8">
        <v>687.97</v>
      </c>
      <c r="D26" s="8">
        <v>1916.94</v>
      </c>
      <c r="E26" s="8">
        <v>651.19000000000005</v>
      </c>
      <c r="G26" s="10" t="s">
        <v>42</v>
      </c>
      <c r="H26" s="8">
        <v>311.08</v>
      </c>
    </row>
    <row r="27" spans="2:8">
      <c r="G27" s="10" t="s">
        <v>41</v>
      </c>
      <c r="H27" s="8">
        <v>320.89</v>
      </c>
    </row>
    <row r="28" spans="2:8">
      <c r="G28" s="10" t="s">
        <v>40</v>
      </c>
      <c r="H28" s="8">
        <v>462.57</v>
      </c>
    </row>
    <row r="29" spans="2:8">
      <c r="G29" s="10" t="s">
        <v>39</v>
      </c>
      <c r="H29" s="8">
        <v>485.66</v>
      </c>
    </row>
    <row r="30" spans="2:8">
      <c r="G30" s="10" t="s">
        <v>29</v>
      </c>
      <c r="H30" s="8">
        <v>644.13</v>
      </c>
    </row>
    <row r="31" spans="2:8">
      <c r="G31" s="10" t="s">
        <v>9</v>
      </c>
      <c r="H31" s="8">
        <v>722.77</v>
      </c>
    </row>
    <row r="32" spans="2:8">
      <c r="G32" s="10" t="s">
        <v>64</v>
      </c>
      <c r="H32" s="8">
        <v>3744.65</v>
      </c>
    </row>
    <row r="36" spans="2:7">
      <c r="B36" s="9" t="s">
        <v>63</v>
      </c>
      <c r="C36" s="4" t="s">
        <v>67</v>
      </c>
      <c r="D36" s="4" t="s">
        <v>68</v>
      </c>
      <c r="E36" s="4" t="s">
        <v>69</v>
      </c>
      <c r="F36" s="4" t="s">
        <v>70</v>
      </c>
      <c r="G36" s="4" t="s">
        <v>71</v>
      </c>
    </row>
    <row r="37" spans="2:7">
      <c r="B37" s="10" t="s">
        <v>5</v>
      </c>
      <c r="C37" s="8">
        <v>589.69000000000005</v>
      </c>
      <c r="D37" s="8">
        <v>80.3</v>
      </c>
      <c r="E37" s="8">
        <v>342.52</v>
      </c>
      <c r="F37" s="8">
        <v>112.41</v>
      </c>
      <c r="G37" s="8">
        <v>1125.9100000000001</v>
      </c>
    </row>
    <row r="38" spans="2:7">
      <c r="B38" s="10" t="s">
        <v>23</v>
      </c>
      <c r="C38" s="8">
        <v>65.09</v>
      </c>
      <c r="D38" s="8">
        <v>5.46</v>
      </c>
      <c r="E38" s="8">
        <v>59.52</v>
      </c>
      <c r="F38" s="8">
        <v>18.399999999999999</v>
      </c>
      <c r="G38" s="8">
        <v>148.52000000000001</v>
      </c>
    </row>
    <row r="39" spans="2:7">
      <c r="B39" s="10" t="s">
        <v>31</v>
      </c>
      <c r="C39" s="8">
        <v>157.26</v>
      </c>
      <c r="D39" s="8">
        <v>46.11</v>
      </c>
      <c r="E39" s="8">
        <v>91.52</v>
      </c>
      <c r="F39" s="8">
        <v>30.11</v>
      </c>
      <c r="G39" s="8">
        <v>325.39</v>
      </c>
    </row>
    <row r="40" spans="2:7">
      <c r="B40" s="10" t="s">
        <v>62</v>
      </c>
      <c r="C40" s="8">
        <v>0.06</v>
      </c>
      <c r="D40" s="8">
        <v>0.04</v>
      </c>
      <c r="E40" s="8">
        <v>0.22</v>
      </c>
      <c r="F40" s="8">
        <v>0.02</v>
      </c>
      <c r="G40" s="8">
        <v>0.33</v>
      </c>
    </row>
    <row r="41" spans="2:7">
      <c r="B41" s="10" t="s">
        <v>61</v>
      </c>
      <c r="C41" s="8">
        <v>0.68</v>
      </c>
      <c r="D41" s="8"/>
      <c r="E41" s="8">
        <v>0.2</v>
      </c>
      <c r="F41" s="8">
        <v>0.08</v>
      </c>
      <c r="G41" s="8">
        <v>0.97</v>
      </c>
    </row>
    <row r="42" spans="2:7">
      <c r="B42" s="10" t="s">
        <v>52</v>
      </c>
      <c r="C42" s="8">
        <v>173.96</v>
      </c>
      <c r="D42" s="8">
        <v>58.61</v>
      </c>
      <c r="E42" s="8">
        <v>79.84</v>
      </c>
      <c r="F42" s="8">
        <v>28.65</v>
      </c>
      <c r="G42" s="8">
        <v>341.13</v>
      </c>
    </row>
    <row r="43" spans="2:7">
      <c r="B43" s="10" t="s">
        <v>49</v>
      </c>
      <c r="C43" s="8">
        <v>295.66000000000003</v>
      </c>
      <c r="D43" s="8">
        <v>56.24</v>
      </c>
      <c r="E43" s="8">
        <v>146.71</v>
      </c>
      <c r="F43" s="8">
        <v>58.52</v>
      </c>
      <c r="G43" s="8">
        <v>557.79999999999995</v>
      </c>
    </row>
    <row r="44" spans="2:7">
      <c r="B44" s="10" t="s">
        <v>57</v>
      </c>
      <c r="C44" s="8">
        <v>3.95</v>
      </c>
      <c r="D44" s="8">
        <v>1.39</v>
      </c>
      <c r="E44" s="8">
        <v>2.94</v>
      </c>
      <c r="F44" s="8">
        <v>1.03</v>
      </c>
      <c r="G44" s="8">
        <v>9.31</v>
      </c>
    </row>
    <row r="45" spans="2:7">
      <c r="B45" s="10" t="s">
        <v>56</v>
      </c>
      <c r="C45" s="8">
        <v>25.97</v>
      </c>
      <c r="D45" s="8">
        <v>5.84</v>
      </c>
      <c r="E45" s="8">
        <v>15.02</v>
      </c>
      <c r="F45" s="8">
        <v>4.93</v>
      </c>
      <c r="G45" s="8">
        <v>51.75</v>
      </c>
    </row>
    <row r="46" spans="2:7">
      <c r="B46" s="10" t="s">
        <v>59</v>
      </c>
      <c r="C46" s="8">
        <v>2.67</v>
      </c>
      <c r="D46" s="8">
        <v>1.19</v>
      </c>
      <c r="E46" s="8">
        <v>1.81</v>
      </c>
      <c r="F46" s="8">
        <v>0.52</v>
      </c>
      <c r="G46" s="8">
        <v>6.21</v>
      </c>
    </row>
    <row r="47" spans="2:7">
      <c r="B47" s="10" t="s">
        <v>51</v>
      </c>
      <c r="C47" s="8">
        <v>187.96</v>
      </c>
      <c r="D47" s="8">
        <v>31.08</v>
      </c>
      <c r="E47" s="8">
        <v>99.39</v>
      </c>
      <c r="F47" s="8">
        <v>30.38</v>
      </c>
      <c r="G47" s="8">
        <v>349.15</v>
      </c>
    </row>
    <row r="48" spans="2:7">
      <c r="B48" s="10" t="s">
        <v>54</v>
      </c>
      <c r="C48" s="8">
        <v>64.36</v>
      </c>
      <c r="D48" s="8">
        <v>29.27</v>
      </c>
      <c r="E48" s="8">
        <v>25.78</v>
      </c>
      <c r="F48" s="8">
        <v>7.38</v>
      </c>
      <c r="G48" s="8">
        <v>127.28</v>
      </c>
    </row>
    <row r="49" spans="2:7">
      <c r="B49" s="10" t="s">
        <v>50</v>
      </c>
      <c r="C49" s="8">
        <v>269.72000000000003</v>
      </c>
      <c r="D49" s="8">
        <v>20.23</v>
      </c>
      <c r="E49" s="8">
        <v>179.14</v>
      </c>
      <c r="F49" s="8">
        <v>56.44</v>
      </c>
      <c r="G49" s="8">
        <v>525.75</v>
      </c>
    </row>
    <row r="50" spans="2:7">
      <c r="B50" s="10" t="s">
        <v>17</v>
      </c>
      <c r="C50" s="8">
        <v>171.67</v>
      </c>
      <c r="D50" s="8">
        <v>130.56</v>
      </c>
      <c r="E50" s="8">
        <v>91.02</v>
      </c>
      <c r="F50" s="8">
        <v>33.75</v>
      </c>
      <c r="G50" s="8">
        <v>426.8</v>
      </c>
    </row>
    <row r="51" spans="2:7">
      <c r="B51" s="10" t="s">
        <v>60</v>
      </c>
      <c r="C51" s="8">
        <v>0.69</v>
      </c>
      <c r="D51" s="8">
        <v>0.52</v>
      </c>
      <c r="E51" s="8">
        <v>0.56000000000000005</v>
      </c>
      <c r="F51" s="8">
        <v>0.12</v>
      </c>
      <c r="G51" s="8">
        <v>1.89</v>
      </c>
    </row>
    <row r="52" spans="2:7">
      <c r="B52" s="10" t="s">
        <v>8</v>
      </c>
      <c r="C52" s="8">
        <v>528.27</v>
      </c>
      <c r="D52" s="8">
        <v>33.99</v>
      </c>
      <c r="E52" s="8">
        <v>324.74</v>
      </c>
      <c r="F52" s="8">
        <v>108.43</v>
      </c>
      <c r="G52" s="8">
        <v>995.5</v>
      </c>
    </row>
    <row r="53" spans="2:7">
      <c r="B53" s="10" t="s">
        <v>53</v>
      </c>
      <c r="C53" s="8">
        <v>152.84</v>
      </c>
      <c r="D53" s="8">
        <v>35.979999999999997</v>
      </c>
      <c r="E53" s="8">
        <v>86.86</v>
      </c>
      <c r="F53" s="8">
        <v>24.34</v>
      </c>
      <c r="G53" s="8">
        <v>300.64999999999998</v>
      </c>
    </row>
    <row r="54" spans="2:7">
      <c r="B54" s="10" t="s">
        <v>26</v>
      </c>
      <c r="C54" s="8">
        <v>607.47</v>
      </c>
      <c r="D54" s="8">
        <v>109.27</v>
      </c>
      <c r="E54" s="8">
        <v>341.92</v>
      </c>
      <c r="F54" s="8">
        <v>128.19</v>
      </c>
      <c r="G54" s="8">
        <v>1187.52</v>
      </c>
    </row>
    <row r="55" spans="2:7">
      <c r="B55" s="10" t="s">
        <v>55</v>
      </c>
      <c r="C55" s="8">
        <v>47.06</v>
      </c>
      <c r="D55" s="8">
        <v>36.799999999999997</v>
      </c>
      <c r="E55" s="8">
        <v>27.05</v>
      </c>
      <c r="F55" s="8">
        <v>7.29</v>
      </c>
      <c r="G55" s="8">
        <v>118.31</v>
      </c>
    </row>
    <row r="56" spans="2:7">
      <c r="B56" s="10" t="s">
        <v>58</v>
      </c>
      <c r="C56" s="8">
        <v>0.49</v>
      </c>
      <c r="D56" s="8">
        <v>5.0599999999999996</v>
      </c>
      <c r="E56" s="8">
        <v>7.0000000000000007E-2</v>
      </c>
      <c r="F56" s="8">
        <v>0.13</v>
      </c>
      <c r="G56" s="8">
        <v>5.78</v>
      </c>
    </row>
    <row r="57" spans="2:7">
      <c r="B57" s="10" t="s">
        <v>64</v>
      </c>
      <c r="C57" s="8">
        <v>3345.52</v>
      </c>
      <c r="D57" s="8">
        <v>687.93999999999983</v>
      </c>
      <c r="E57" s="8">
        <v>1916.8299999999997</v>
      </c>
      <c r="F57" s="8">
        <v>651.12</v>
      </c>
      <c r="G57" s="8">
        <v>6605.9500000000007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D425-EA19-4707-A5CD-D1432E734936}">
  <dimension ref="A1:AA14"/>
  <sheetViews>
    <sheetView showGridLines="0" workbookViewId="0">
      <selection activeCell="P43" sqref="P43"/>
    </sheetView>
  </sheetViews>
  <sheetFormatPr defaultRowHeight="15"/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5" spans="1:27" ht="20.25">
      <c r="B5" s="25" t="s">
        <v>72</v>
      </c>
      <c r="C5" s="26"/>
      <c r="D5" s="26"/>
      <c r="E5" s="26"/>
      <c r="F5" s="26"/>
      <c r="G5" s="26"/>
      <c r="H5" s="26"/>
      <c r="I5" s="26"/>
      <c r="J5" s="26"/>
      <c r="K5" s="26"/>
      <c r="L5" s="27"/>
    </row>
    <row r="6" spans="1:27">
      <c r="B6" s="28"/>
      <c r="C6" s="29"/>
      <c r="D6" s="29"/>
      <c r="E6" s="29"/>
      <c r="F6" s="29"/>
      <c r="G6" s="29"/>
      <c r="H6" s="29"/>
      <c r="I6" s="29"/>
      <c r="J6" s="29"/>
      <c r="K6" s="29"/>
      <c r="L6" s="30"/>
    </row>
    <row r="7" spans="1:27">
      <c r="B7" s="28" t="s">
        <v>73</v>
      </c>
      <c r="C7" s="29"/>
      <c r="D7" s="29"/>
      <c r="E7" s="29"/>
      <c r="F7" s="29"/>
      <c r="G7" s="29"/>
      <c r="H7" s="29"/>
      <c r="I7" s="29"/>
      <c r="J7" s="29"/>
      <c r="K7" s="29"/>
      <c r="L7" s="30"/>
    </row>
    <row r="8" spans="1:27">
      <c r="B8" s="28"/>
      <c r="C8" s="29"/>
      <c r="D8" s="29"/>
      <c r="E8" s="29"/>
      <c r="F8" s="29"/>
      <c r="G8" s="29"/>
      <c r="H8" s="29"/>
      <c r="I8" s="29"/>
      <c r="J8" s="29"/>
      <c r="K8" s="29"/>
      <c r="L8" s="30"/>
    </row>
    <row r="9" spans="1:27">
      <c r="B9" s="28" t="s">
        <v>74</v>
      </c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27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27">
      <c r="B11" s="28" t="s">
        <v>75</v>
      </c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27"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27">
      <c r="B13" s="28" t="s">
        <v>76</v>
      </c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27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C1C6C-C63F-4C21-B152-F12EA4B8C6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Dados Brutos</vt:lpstr>
      <vt:lpstr>Tabelas Dinâmicas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 Silva</dc:creator>
  <cp:lastModifiedBy>Rodrigo Oliveira Silva</cp:lastModifiedBy>
  <dcterms:created xsi:type="dcterms:W3CDTF">2026-06-25T22:51:55Z</dcterms:created>
  <dcterms:modified xsi:type="dcterms:W3CDTF">2026-06-26T17:30:09Z</dcterms:modified>
</cp:coreProperties>
</file>
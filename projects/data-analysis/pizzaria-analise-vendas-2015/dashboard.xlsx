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 Oliveira\Documents\analise_pizzaria_2015_postgreSQL\"/>
    </mc:Choice>
  </mc:AlternateContent>
  <xr:revisionPtr revIDLastSave="0" documentId="8_{6D6FC452-6D13-42EC-9C8B-C818131305F1}" xr6:coauthVersionLast="47" xr6:coauthVersionMax="47" xr10:uidLastSave="{00000000-0000-0000-0000-000000000000}"/>
  <bookViews>
    <workbookView xWindow="-120" yWindow="-120" windowWidth="20730" windowHeight="11310" xr2:uid="{95A4D3A6-3B59-4DCA-A295-AFF8B52759F5}"/>
  </bookViews>
  <sheets>
    <sheet name="Faturamento Anual" sheetId="2" r:id="rId1"/>
    <sheet name="Faturamento Mês de Julho" sheetId="3" r:id="rId2"/>
  </sheets>
  <definedNames>
    <definedName name="DadosExternos_1" localSheetId="0" hidden="1">'Faturamento Anual'!$B$4:$E$16</definedName>
    <definedName name="DadosExternos_1" localSheetId="1" hidden="1">'Faturamento Mês de Julho'!$B$4:$E$35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3" l="1"/>
  <c r="G5" i="3"/>
  <c r="G8" i="2"/>
  <c r="G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3FCF4-CBE2-42A6-B6ED-3D090827000B}" keepAlive="1" name="Consulta - CSV_analise_faturamento_anual_pizzaria_2015" description="Conexão com a consulta 'CSV_analise_faturamento_anual_pizzaria_2015' na pasta de trabalho." type="5" refreshedVersion="8" background="1" saveData="1">
    <dbPr connection="Provider=Microsoft.Mashup.OleDb.1;Data Source=$Workbook$;Location=CSV_analise_faturamento_anual_pizzaria_2015;Extended Properties=&quot;&quot;" command="SELECT * FROM [CSV_analise_faturamento_anual_pizzaria_2015]"/>
  </connection>
  <connection id="2" xr16:uid="{291A86F3-D526-4B04-8912-A1011CF0189C}" keepAlive="1" name="Consulta - CSV_analise_faturamento_julho_pizzaria_2015" description="Conexão com a consulta 'CSV_analise_faturamento_julho_pizzaria_2015' na pasta de trabalho." type="5" refreshedVersion="8" background="1" saveData="1">
    <dbPr connection="Provider=Microsoft.Mashup.OleDb.1;Data Source=$Workbook$;Location=CSV_analise_faturamento_julho_pizzaria_2015;Extended Properties=&quot;&quot;" command="SELECT * FROM [CSV_analise_faturamento_julho_pizzaria_2015]"/>
  </connection>
</connections>
</file>

<file path=xl/sharedStrings.xml><?xml version="1.0" encoding="utf-8"?>
<sst xmlns="http://schemas.openxmlformats.org/spreadsheetml/2006/main" count="74" uniqueCount="39">
  <si>
    <t>Mês de Venda</t>
  </si>
  <si>
    <t>Qtde Vendida</t>
  </si>
  <si>
    <t>Faturamento</t>
  </si>
  <si>
    <t>Faturamento Anual - Visto de mês a mês</t>
  </si>
  <si>
    <t>Dia da Semana</t>
  </si>
  <si>
    <t>Data</t>
  </si>
  <si>
    <t>quarta-feira</t>
  </si>
  <si>
    <t>quinta-feira</t>
  </si>
  <si>
    <t>sexta-feira</t>
  </si>
  <si>
    <t>sábado</t>
  </si>
  <si>
    <t>domingo</t>
  </si>
  <si>
    <t>segunda-feira</t>
  </si>
  <si>
    <t>terça-feira</t>
  </si>
  <si>
    <t>Nome do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</si>
  <si>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</si>
  <si>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</si>
  <si>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</si>
  <si>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</si>
  <si>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</si>
  <si>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</si>
  <si>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</si>
  <si>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</si>
  <si>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</si>
  <si>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</si>
  <si>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</si>
  <si>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</si>
  <si>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Total das Vendas </t>
  </si>
  <si>
    <t>Ticket Mèdio</t>
  </si>
  <si>
    <t>Total das Vendas</t>
  </si>
  <si>
    <t>Rótulos de Linha</t>
  </si>
  <si>
    <t>Total Geral</t>
  </si>
  <si>
    <t>Soma de Faturamento</t>
  </si>
  <si>
    <t>Soma de Qtde Vendida</t>
  </si>
  <si>
    <t>Pior Mês</t>
  </si>
  <si>
    <t>Melhor Mês</t>
  </si>
  <si>
    <t>Ticket Médio</t>
  </si>
  <si>
    <t>Melhor Dia da Semana</t>
  </si>
  <si>
    <t>Sexta-Feira</t>
  </si>
  <si>
    <t>Faturamento Mês de Julho - Pizzaria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</si>
</sst>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5" fillId="0" borderId="0" xfId="0" applyFont="1"/>
    <xf numFmtId="14" fontId="3" fillId="0" borderId="0" xfId="0" applyNumberFormat="1" applyFont="1"/>
    <xf numFmtId="2" fontId="3" fillId="0" borderId="0" xfId="0" applyNumberFormat="1" applyFont="1"/>
    <xf numFmtId="0" fontId="3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</cellXfs>
  <cellStyles count="1">
    <cellStyle name="Normal" xfId="0" builtinId="0"/>
  </cellStyles>
  <dxfs count="30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diagonalUp="0" diagonalDown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'Faturamento Anual'!$E$4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tx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'Faturamento Anual'!$B$5:$B$16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'Faturamento Anual'!$E$5:$E$16</c:f>
              <c:numCache>
                <c:formatCode>_-[$R$-416]\ * #,##0.00_-;\-[$R$-416]\ * #,##0.00_-;_-[$R$-416]\ * "-"??_-;_-@_-</c:formatCode>
                <c:ptCount val="12"/>
                <c:pt idx="0">
                  <c:v>69793.3</c:v>
                </c:pt>
                <c:pt idx="1">
                  <c:v>65159.6</c:v>
                </c:pt>
                <c:pt idx="2">
                  <c:v>70397.100000000006</c:v>
                </c:pt>
                <c:pt idx="3">
                  <c:v>68736.800000000003</c:v>
                </c:pt>
                <c:pt idx="4">
                  <c:v>71402.75</c:v>
                </c:pt>
                <c:pt idx="5">
                  <c:v>68230.2</c:v>
                </c:pt>
                <c:pt idx="6">
                  <c:v>72557.899999999994</c:v>
                </c:pt>
                <c:pt idx="7">
                  <c:v>68278.25</c:v>
                </c:pt>
                <c:pt idx="8">
                  <c:v>64180.05</c:v>
                </c:pt>
                <c:pt idx="9">
                  <c:v>64027.6</c:v>
                </c:pt>
                <c:pt idx="10">
                  <c:v>70395.350000000006</c:v>
                </c:pt>
                <c:pt idx="11">
                  <c:v>64701.15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B3-475C-A030-4112083DA7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8593551"/>
        <c:axId val="2885777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'Faturamento Anual'!$C$4</c15:sqref>
                        </c15:formulaRef>
                      </c:ext>
                    </c:extLst>
                    <c:strCache>
                      <c:ptCount val="1"/>
                      <c:pt idx="0">
                        <c:v>Mês de Venda</c:v>
                      </c:pt>
                    </c:strCache>
                  </c:strRef>
                </c:tx>
                <c:spPr>
                  <a:solidFill>
                    <a:schemeClr val="accent1">
                      <a:tint val="65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'Faturamento Anual'!$B$5:$B$16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'Faturamento Anual'!$C$5:$C$16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42005</c:v>
                      </c:pt>
                      <c:pt idx="1">
                        <c:v>42036</c:v>
                      </c:pt>
                      <c:pt idx="2">
                        <c:v>42064</c:v>
                      </c:pt>
                      <c:pt idx="3">
                        <c:v>42095</c:v>
                      </c:pt>
                      <c:pt idx="4">
                        <c:v>42125</c:v>
                      </c:pt>
                      <c:pt idx="5">
                        <c:v>42156</c:v>
                      </c:pt>
                      <c:pt idx="6">
                        <c:v>42186</c:v>
                      </c:pt>
                      <c:pt idx="7">
                        <c:v>42217</c:v>
                      </c:pt>
                      <c:pt idx="8">
                        <c:v>42248</c:v>
                      </c:pt>
                      <c:pt idx="9">
                        <c:v>42278</c:v>
                      </c:pt>
                      <c:pt idx="10">
                        <c:v>42309</c:v>
                      </c:pt>
                      <c:pt idx="11">
                        <c:v>42339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8B3-475C-A030-4112083DA70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'Faturamento Anual'!$D$4</c15:sqref>
                        </c15:formulaRef>
                      </c:ext>
                    </c:extLst>
                    <c:strCache>
                      <c:ptCount val="1"/>
                      <c:pt idx="0">
                        <c:v>Qtde Vendida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'Faturamento Anual'!$B$5:$B$16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'Faturamento Anual'!$D$5:$D$16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4232</c:v>
                      </c:pt>
                      <c:pt idx="1">
                        <c:v>3961</c:v>
                      </c:pt>
                      <c:pt idx="2">
                        <c:v>4261</c:v>
                      </c:pt>
                      <c:pt idx="3">
                        <c:v>4151</c:v>
                      </c:pt>
                      <c:pt idx="4">
                        <c:v>4328</c:v>
                      </c:pt>
                      <c:pt idx="5">
                        <c:v>4107</c:v>
                      </c:pt>
                      <c:pt idx="6">
                        <c:v>4392</c:v>
                      </c:pt>
                      <c:pt idx="7">
                        <c:v>4168</c:v>
                      </c:pt>
                      <c:pt idx="8">
                        <c:v>3890</c:v>
                      </c:pt>
                      <c:pt idx="9">
                        <c:v>3883</c:v>
                      </c:pt>
                      <c:pt idx="10">
                        <c:v>4266</c:v>
                      </c:pt>
                      <c:pt idx="11">
                        <c:v>3935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B3-475C-A030-4112083DA70B}"/>
                  </c:ext>
                </c:extLst>
              </c15:ser>
            </c15:filteredBarSeries>
          </c:ext>
        </c:extLst>
      </c:barChart>
      <c:catAx>
        <c:axId val="288593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577711"/>
        <c:crosses val="autoZero"/>
        <c:auto val="1"/>
        <c:lblAlgn val="ctr"/>
        <c:lblOffset val="100"/>
        <c:noMultiLvlLbl val="0"/>
      </c:catAx>
      <c:valAx>
        <c:axId val="288577711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88593551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2"/>
                </a:solidFill>
                <a:latin typeface="+mj-lt"/>
                <a:ea typeface="+mj-ea"/>
                <a:cs typeface="+mj-cs"/>
              </a:defRPr>
            </a:pPr>
            <a:r>
              <a:rPr lang="pt-BR">
                <a:solidFill>
                  <a:schemeClr val="tx2"/>
                </a:solidFill>
              </a:rPr>
              <a:t>Faturamento</a:t>
            </a:r>
            <a:r>
              <a:rPr lang="pt-BR" baseline="0">
                <a:solidFill>
                  <a:schemeClr val="tx2"/>
                </a:solidFill>
              </a:rPr>
              <a:t> por Dia</a:t>
            </a:r>
            <a:endParaRPr lang="pt-BR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2"/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'Faturamento Mês de Julho'!$C$5:$C$35</c:f>
              <c:numCache>
                <c:formatCode>m/d/yyyy</c:formatCode>
                <c:ptCount val="31"/>
                <c:pt idx="0">
                  <c:v>42186</c:v>
                </c:pt>
                <c:pt idx="1">
                  <c:v>42187</c:v>
                </c:pt>
                <c:pt idx="2">
                  <c:v>42188</c:v>
                </c:pt>
                <c:pt idx="3">
                  <c:v>42189</c:v>
                </c:pt>
                <c:pt idx="4">
                  <c:v>42190</c:v>
                </c:pt>
                <c:pt idx="5">
                  <c:v>42191</c:v>
                </c:pt>
                <c:pt idx="6">
                  <c:v>42192</c:v>
                </c:pt>
                <c:pt idx="7">
                  <c:v>42193</c:v>
                </c:pt>
                <c:pt idx="8">
                  <c:v>42194</c:v>
                </c:pt>
                <c:pt idx="9">
                  <c:v>42195</c:v>
                </c:pt>
                <c:pt idx="10">
                  <c:v>42196</c:v>
                </c:pt>
                <c:pt idx="11">
                  <c:v>42197</c:v>
                </c:pt>
                <c:pt idx="12">
                  <c:v>42198</c:v>
                </c:pt>
                <c:pt idx="13">
                  <c:v>42199</c:v>
                </c:pt>
                <c:pt idx="14">
                  <c:v>42200</c:v>
                </c:pt>
                <c:pt idx="15">
                  <c:v>42201</c:v>
                </c:pt>
                <c:pt idx="16">
                  <c:v>42202</c:v>
                </c:pt>
                <c:pt idx="17">
                  <c:v>42203</c:v>
                </c:pt>
                <c:pt idx="18">
                  <c:v>42204</c:v>
                </c:pt>
                <c:pt idx="19">
                  <c:v>42205</c:v>
                </c:pt>
                <c:pt idx="20">
                  <c:v>42206</c:v>
                </c:pt>
                <c:pt idx="21">
                  <c:v>42207</c:v>
                </c:pt>
                <c:pt idx="22">
                  <c:v>42208</c:v>
                </c:pt>
                <c:pt idx="23">
                  <c:v>42209</c:v>
                </c:pt>
                <c:pt idx="24">
                  <c:v>42210</c:v>
                </c:pt>
                <c:pt idx="25">
                  <c:v>42211</c:v>
                </c:pt>
                <c:pt idx="26">
                  <c:v>42212</c:v>
                </c:pt>
                <c:pt idx="27">
                  <c:v>42213</c:v>
                </c:pt>
                <c:pt idx="28">
                  <c:v>42214</c:v>
                </c:pt>
                <c:pt idx="29">
                  <c:v>42215</c:v>
                </c:pt>
                <c:pt idx="30">
                  <c:v>42216</c:v>
                </c:pt>
              </c:numCache>
            </c:numRef>
          </c:cat>
          <c:val>
            <c:numRef>
              <c:f>'Faturamento Mês de Julho'!$E$5:$E$35</c:f>
              <c:numCache>
                <c:formatCode>_-[$R$-416]\ * #,##0.00_-;\-[$R$-416]\ * #,##0.00_-;_-[$R$-416]\ * "-"??_-;_-@_-</c:formatCode>
                <c:ptCount val="31"/>
                <c:pt idx="0">
                  <c:v>2231.5</c:v>
                </c:pt>
                <c:pt idx="1">
                  <c:v>2294.8000000000002</c:v>
                </c:pt>
                <c:pt idx="2">
                  <c:v>3443</c:v>
                </c:pt>
                <c:pt idx="3">
                  <c:v>3864.2</c:v>
                </c:pt>
                <c:pt idx="4">
                  <c:v>1591.45</c:v>
                </c:pt>
                <c:pt idx="5">
                  <c:v>2116.9</c:v>
                </c:pt>
                <c:pt idx="6">
                  <c:v>2374.4</c:v>
                </c:pt>
                <c:pt idx="7">
                  <c:v>2396.0500000000002</c:v>
                </c:pt>
                <c:pt idx="8">
                  <c:v>2297.75</c:v>
                </c:pt>
                <c:pt idx="9">
                  <c:v>2432.4</c:v>
                </c:pt>
                <c:pt idx="10">
                  <c:v>2085.5500000000002</c:v>
                </c:pt>
                <c:pt idx="11">
                  <c:v>2185.65</c:v>
                </c:pt>
                <c:pt idx="12">
                  <c:v>2059.5</c:v>
                </c:pt>
                <c:pt idx="13">
                  <c:v>1956.5</c:v>
                </c:pt>
                <c:pt idx="14">
                  <c:v>2501.8000000000002</c:v>
                </c:pt>
                <c:pt idx="15">
                  <c:v>2463.9</c:v>
                </c:pt>
                <c:pt idx="16">
                  <c:v>3131.65</c:v>
                </c:pt>
                <c:pt idx="17">
                  <c:v>2122.1999999999998</c:v>
                </c:pt>
                <c:pt idx="18">
                  <c:v>2022.7</c:v>
                </c:pt>
                <c:pt idx="19">
                  <c:v>2501</c:v>
                </c:pt>
                <c:pt idx="20">
                  <c:v>2030.85</c:v>
                </c:pt>
                <c:pt idx="21">
                  <c:v>2292.1</c:v>
                </c:pt>
                <c:pt idx="22">
                  <c:v>2214.5</c:v>
                </c:pt>
                <c:pt idx="23">
                  <c:v>3204.4</c:v>
                </c:pt>
                <c:pt idx="24">
                  <c:v>2237.25</c:v>
                </c:pt>
                <c:pt idx="25">
                  <c:v>1871.55</c:v>
                </c:pt>
                <c:pt idx="26">
                  <c:v>2172</c:v>
                </c:pt>
                <c:pt idx="27">
                  <c:v>2094.5500000000002</c:v>
                </c:pt>
                <c:pt idx="28">
                  <c:v>1923.25</c:v>
                </c:pt>
                <c:pt idx="29">
                  <c:v>2349.15</c:v>
                </c:pt>
                <c:pt idx="30">
                  <c:v>2095.4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C1-4FD9-8DA3-60A08E161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186127"/>
        <c:axId val="19361885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2225" cap="rnd">
                    <a:solidFill>
                      <a:schemeClr val="accent1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'Faturamento Mês de Julho'!$C$5:$C$35</c15:sqref>
                        </c15:formulaRef>
                      </c:ext>
                    </c:extLst>
                    <c:numCache>
                      <c:formatCode>m/d/yyyy</c:formatCode>
                      <c:ptCount val="31"/>
                      <c:pt idx="0">
                        <c:v>42186</c:v>
                      </c:pt>
                      <c:pt idx="1">
                        <c:v>42187</c:v>
                      </c:pt>
                      <c:pt idx="2">
                        <c:v>42188</c:v>
                      </c:pt>
                      <c:pt idx="3">
                        <c:v>42189</c:v>
                      </c:pt>
                      <c:pt idx="4">
                        <c:v>42190</c:v>
                      </c:pt>
                      <c:pt idx="5">
                        <c:v>42191</c:v>
                      </c:pt>
                      <c:pt idx="6">
                        <c:v>42192</c:v>
                      </c:pt>
                      <c:pt idx="7">
                        <c:v>42193</c:v>
                      </c:pt>
                      <c:pt idx="8">
                        <c:v>42194</c:v>
                      </c:pt>
                      <c:pt idx="9">
                        <c:v>42195</c:v>
                      </c:pt>
                      <c:pt idx="10">
                        <c:v>42196</c:v>
                      </c:pt>
                      <c:pt idx="11">
                        <c:v>42197</c:v>
                      </c:pt>
                      <c:pt idx="12">
                        <c:v>42198</c:v>
                      </c:pt>
                      <c:pt idx="13">
                        <c:v>42199</c:v>
                      </c:pt>
                      <c:pt idx="14">
                        <c:v>42200</c:v>
                      </c:pt>
                      <c:pt idx="15">
                        <c:v>42201</c:v>
                      </c:pt>
                      <c:pt idx="16">
                        <c:v>42202</c:v>
                      </c:pt>
                      <c:pt idx="17">
                        <c:v>42203</c:v>
                      </c:pt>
                      <c:pt idx="18">
                        <c:v>42204</c:v>
                      </c:pt>
                      <c:pt idx="19">
                        <c:v>42205</c:v>
                      </c:pt>
                      <c:pt idx="20">
                        <c:v>42206</c:v>
                      </c:pt>
                      <c:pt idx="21">
                        <c:v>42207</c:v>
                      </c:pt>
                      <c:pt idx="22">
                        <c:v>42208</c:v>
                      </c:pt>
                      <c:pt idx="23">
                        <c:v>42209</c:v>
                      </c:pt>
                      <c:pt idx="24">
                        <c:v>42210</c:v>
                      </c:pt>
                      <c:pt idx="25">
                        <c:v>42211</c:v>
                      </c:pt>
                      <c:pt idx="26">
                        <c:v>42212</c:v>
                      </c:pt>
                      <c:pt idx="27">
                        <c:v>42213</c:v>
                      </c:pt>
                      <c:pt idx="28">
                        <c:v>42214</c:v>
                      </c:pt>
                      <c:pt idx="29">
                        <c:v>42215</c:v>
                      </c:pt>
                      <c:pt idx="30">
                        <c:v>42216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'Faturamento Mês de Julho'!$D$5:$D$35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137</c:v>
                      </c:pt>
                      <c:pt idx="1">
                        <c:v>138</c:v>
                      </c:pt>
                      <c:pt idx="2">
                        <c:v>213</c:v>
                      </c:pt>
                      <c:pt idx="3">
                        <c:v>234</c:v>
                      </c:pt>
                      <c:pt idx="4">
                        <c:v>96</c:v>
                      </c:pt>
                      <c:pt idx="5">
                        <c:v>130</c:v>
                      </c:pt>
                      <c:pt idx="6">
                        <c:v>142</c:v>
                      </c:pt>
                      <c:pt idx="7">
                        <c:v>142</c:v>
                      </c:pt>
                      <c:pt idx="8">
                        <c:v>135</c:v>
                      </c:pt>
                      <c:pt idx="9">
                        <c:v>148</c:v>
                      </c:pt>
                      <c:pt idx="10">
                        <c:v>125</c:v>
                      </c:pt>
                      <c:pt idx="11">
                        <c:v>128</c:v>
                      </c:pt>
                      <c:pt idx="12">
                        <c:v>124</c:v>
                      </c:pt>
                      <c:pt idx="13">
                        <c:v>119</c:v>
                      </c:pt>
                      <c:pt idx="14">
                        <c:v>154</c:v>
                      </c:pt>
                      <c:pt idx="15">
                        <c:v>146</c:v>
                      </c:pt>
                      <c:pt idx="16">
                        <c:v>187</c:v>
                      </c:pt>
                      <c:pt idx="17">
                        <c:v>130</c:v>
                      </c:pt>
                      <c:pt idx="18">
                        <c:v>121</c:v>
                      </c:pt>
                      <c:pt idx="19">
                        <c:v>149</c:v>
                      </c:pt>
                      <c:pt idx="20">
                        <c:v>119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196</c:v>
                      </c:pt>
                      <c:pt idx="24">
                        <c:v>135</c:v>
                      </c:pt>
                      <c:pt idx="25">
                        <c:v>112</c:v>
                      </c:pt>
                      <c:pt idx="26">
                        <c:v>129</c:v>
                      </c:pt>
                      <c:pt idx="27">
                        <c:v>132</c:v>
                      </c:pt>
                      <c:pt idx="28">
                        <c:v>116</c:v>
                      </c:pt>
                      <c:pt idx="29">
                        <c:v>149</c:v>
                      </c:pt>
                      <c:pt idx="30">
                        <c:v>132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2AC1-4FD9-8DA3-60A08E1611B3}"/>
                  </c:ext>
                </c:extLst>
              </c15:ser>
            </c15:filteredLineSeries>
          </c:ext>
        </c:extLst>
      </c:lineChart>
      <c:dateAx>
        <c:axId val="19361861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6188527"/>
        <c:crosses val="autoZero"/>
        <c:auto val="1"/>
        <c:lblOffset val="100"/>
        <c:baseTimeUnit val="days"/>
      </c:dateAx>
      <c:valAx>
        <c:axId val="193618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61861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19050</xdr:rowOff>
    </xdr:from>
    <xdr:to>
      <xdr:col>14</xdr:col>
      <xdr:colOff>600074</xdr:colOff>
      <xdr:row>16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63A3F0-BC53-FC9A-52EE-129ED65AE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142874</xdr:rowOff>
    </xdr:from>
    <xdr:to>
      <xdr:col>10</xdr:col>
      <xdr:colOff>1771651</xdr:colOff>
      <xdr:row>25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8AB621-3E53-1A76-2718-F557BF28B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74.679203703701" createdVersion="8" refreshedVersion="8" minRefreshableVersion="3" recordCount="31" xr:uid="{CFB5606A-3815-40EC-86EF-35F87821B06B}">
  <cacheSource type="worksheet">
    <worksheetSource name="CSV_analise_faturamento_julho_pizzaria_2015"/>
  </cacheSource>
  <cacheFields count="4">
    <cacheField name="Dia da Semana" numFmtId="49">
      <sharedItems count="7">
        <s v="quarta-feira"/>
        <s v="quinta-feira"/>
        <s v="sexta-feira"/>
        <s v="sábado"/>
        <s v="domingo"/>
        <s v="segunda-feira"/>
        <s v="terça-feira"/>
      </sharedItems>
    </cacheField>
    <cacheField name="Data" numFmtId="14">
      <sharedItems containsSemiMixedTypes="0" containsNonDate="0" containsDate="1" containsString="0" minDate="2015-07-01T00:00:00" maxDate="2015-08-01T00:00:00" count="31"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</sharedItems>
    </cacheField>
    <cacheField name="Qtde Vendida" numFmtId="1">
      <sharedItems containsSemiMixedTypes="0" containsString="0" containsNumber="1" containsInteger="1" minValue="96" maxValue="234"/>
    </cacheField>
    <cacheField name="Faturamento" numFmtId="164">
      <sharedItems containsSemiMixedTypes="0" containsString="0" containsNumber="1" minValue="1591.45" maxValue="3864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n v="137"/>
    <n v="2231.5"/>
  </r>
  <r>
    <x v="1"/>
    <x v="1"/>
    <n v="138"/>
    <n v="2294.8000000000002"/>
  </r>
  <r>
    <x v="2"/>
    <x v="2"/>
    <n v="213"/>
    <n v="3443"/>
  </r>
  <r>
    <x v="3"/>
    <x v="3"/>
    <n v="234"/>
    <n v="3864.2"/>
  </r>
  <r>
    <x v="4"/>
    <x v="4"/>
    <n v="96"/>
    <n v="1591.45"/>
  </r>
  <r>
    <x v="5"/>
    <x v="5"/>
    <n v="130"/>
    <n v="2116.9"/>
  </r>
  <r>
    <x v="6"/>
    <x v="6"/>
    <n v="142"/>
    <n v="2374.4"/>
  </r>
  <r>
    <x v="0"/>
    <x v="7"/>
    <n v="142"/>
    <n v="2396.0500000000002"/>
  </r>
  <r>
    <x v="1"/>
    <x v="8"/>
    <n v="135"/>
    <n v="2297.75"/>
  </r>
  <r>
    <x v="2"/>
    <x v="9"/>
    <n v="148"/>
    <n v="2432.4"/>
  </r>
  <r>
    <x v="3"/>
    <x v="10"/>
    <n v="125"/>
    <n v="2085.5500000000002"/>
  </r>
  <r>
    <x v="4"/>
    <x v="11"/>
    <n v="128"/>
    <n v="2185.65"/>
  </r>
  <r>
    <x v="5"/>
    <x v="12"/>
    <n v="124"/>
    <n v="2059.5"/>
  </r>
  <r>
    <x v="6"/>
    <x v="13"/>
    <n v="119"/>
    <n v="1956.5"/>
  </r>
  <r>
    <x v="0"/>
    <x v="14"/>
    <n v="154"/>
    <n v="2501.8000000000002"/>
  </r>
  <r>
    <x v="1"/>
    <x v="15"/>
    <n v="146"/>
    <n v="2463.9"/>
  </r>
  <r>
    <x v="2"/>
    <x v="16"/>
    <n v="187"/>
    <n v="3131.65"/>
  </r>
  <r>
    <x v="3"/>
    <x v="17"/>
    <n v="130"/>
    <n v="2122.1999999999998"/>
  </r>
  <r>
    <x v="4"/>
    <x v="18"/>
    <n v="121"/>
    <n v="2022.7"/>
  </r>
  <r>
    <x v="5"/>
    <x v="19"/>
    <n v="149"/>
    <n v="2501"/>
  </r>
  <r>
    <x v="6"/>
    <x v="20"/>
    <n v="119"/>
    <n v="2030.85"/>
  </r>
  <r>
    <x v="0"/>
    <x v="21"/>
    <n v="137"/>
    <n v="2292.1"/>
  </r>
  <r>
    <x v="1"/>
    <x v="22"/>
    <n v="137"/>
    <n v="2214.5"/>
  </r>
  <r>
    <x v="2"/>
    <x v="23"/>
    <n v="196"/>
    <n v="3204.4"/>
  </r>
  <r>
    <x v="3"/>
    <x v="24"/>
    <n v="135"/>
    <n v="2237.25"/>
  </r>
  <r>
    <x v="4"/>
    <x v="25"/>
    <n v="112"/>
    <n v="1871.55"/>
  </r>
  <r>
    <x v="5"/>
    <x v="26"/>
    <n v="129"/>
    <n v="2172"/>
  </r>
  <r>
    <x v="6"/>
    <x v="27"/>
    <n v="132"/>
    <n v="2094.5500000000002"/>
  </r>
  <r>
    <x v="0"/>
    <x v="28"/>
    <n v="116"/>
    <n v="1923.25"/>
  </r>
  <r>
    <x v="1"/>
    <x v="29"/>
    <n v="149"/>
    <n v="2349.15"/>
  </r>
  <r>
    <x v="2"/>
    <x v="30"/>
    <n v="132"/>
    <n v="2095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A195F-1BBD-4085-B888-3CF76993388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K12" firstHeaderRow="0" firstDataRow="1" firstDataCol="1"/>
  <pivotFields count="4"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numFmtId="1" showAll="0"/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aturamento" fld="3" baseField="0" baseItem="0" numFmtId="164"/>
    <dataField name="Soma de Qtde Vendida" fld="2" baseField="0" baseItem="0" numFmtId="1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1239F21-E23A-401C-97C3-AD3495DA41F7}" autoFormatId="16" applyNumberFormats="0" applyBorderFormats="0" applyFontFormats="0" applyPatternFormats="0" applyAlignmentFormats="0" applyWidthHeightFormats="0">
  <queryTableRefresh nextId="6">
    <queryTableFields count="4">
      <queryTableField id="4" name="Nome do Mês" tableColumnId="4"/>
      <queryTableField id="1" name="Mês de Venda" tableColumnId="1"/>
      <queryTableField id="2" name="Qtde Vendida" tableColumnId="2"/>
      <queryTableField id="3" name="Faturament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2C23556-99EF-4103-A8A4-4519271D18F8}" autoFormatId="16" applyNumberFormats="0" applyBorderFormats="0" applyFontFormats="0" applyPatternFormats="0" applyAlignmentFormats="0" applyWidthHeightFormats="0">
  <queryTableRefresh nextId="5">
    <queryTableFields count="4">
      <queryTableField id="1" name="Dia da Semana" tableColumnId="1"/>
      <queryTableField id="2" name="Data" tableColumnId="2"/>
      <queryTableField id="3" name="Qtde Vendida" tableColumnId="3"/>
      <queryTableField id="4" name="Faturament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1C0DC-92CF-4949-BCC0-2671EDD67F11}" name="CSV_analise_faturamento_anual_pizzaria_2015" displayName="CSV_analise_faturamento_anual_pizzaria_2015" ref="B4:E16" tableType="queryTable" headerRowDxfId="17" dataDxfId="16" totalsRowDxfId="14" tableBorderDxfId="15">
  <autoFilter ref="B4:E16" xr:uid="{5611C0DC-92CF-4949-BCC0-2671EDD67F11}"/>
  <tableColumns count="4">
    <tableColumn id="4" xr3:uid="{0C56093F-0D67-4D07-8650-0C979FBEA4EB}" uniqueName="4" name="Nome do Mês" queryTableFieldId="4" dataDxfId="13" totalsRowDxfId="12"/>
    <tableColumn id="1" xr3:uid="{6F0D2F02-5F6C-4013-B85E-A9F023DEE601}" uniqueName="1" name="Mês de Venda" totalsRowLabel="Total" queryTableFieldId="1" dataDxfId="11" totalsRowDxfId="10"/>
    <tableColumn id="2" xr3:uid="{F149546A-8D8F-4297-9E5A-C54740A691C0}" uniqueName="2" name="Qtde Vendida" queryTableFieldId="2" dataDxfId="9" totalsRowDxfId="8"/>
    <tableColumn id="3" xr3:uid="{AC6EDB47-37C0-47DB-B46B-4694B1E25DBA}" uniqueName="3" name="Faturamento" totalsRowFunction="sum" queryTableFieldId="3" dataDxfId="7" totalsRowDxf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C8782F-E29B-4E12-B38E-7F3B518BB3F6}" name="CSV_analise_faturamento_julho_pizzaria_2015" displayName="CSV_analise_faturamento_julho_pizzaria_2015" ref="B4:E35" tableType="queryTable" totalsRowShown="0" headerRowDxfId="23" dataDxfId="22">
  <autoFilter ref="B4:E35" xr:uid="{E0C8782F-E29B-4E12-B38E-7F3B518BB3F6}"/>
  <tableColumns count="4">
    <tableColumn id="1" xr3:uid="{645A1F26-A40C-4A9C-A8BA-FC5E5268A1D4}" uniqueName="1" name="Dia da Semana" queryTableFieldId="1" dataDxfId="21"/>
    <tableColumn id="2" xr3:uid="{560174D0-36CB-4186-A1DE-815A63A6ADAD}" uniqueName="2" name="Data" queryTableFieldId="2" dataDxfId="20"/>
    <tableColumn id="3" xr3:uid="{807C2E54-1739-4662-8280-148F6C69BF51}" uniqueName="3" name="Qtde Vendida" queryTableFieldId="3" dataDxfId="19"/>
    <tableColumn id="4" xr3:uid="{F07E66FE-D1C9-43F9-93EA-8BE76FF9F0EE}" uniqueName="4" name="Faturamento" queryTableFieldId="4" dataDxfId="18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3D72-9FFC-425B-867D-4A7285151D12}">
  <dimension ref="A1:G16"/>
  <sheetViews>
    <sheetView showGridLines="0" tabSelected="1" zoomScaleNormal="100" workbookViewId="0">
      <selection activeCell="E20" sqref="E20"/>
    </sheetView>
  </sheetViews>
  <sheetFormatPr defaultRowHeight="21" x14ac:dyDescent="0.35"/>
  <cols>
    <col min="1" max="1" width="4.85546875" customWidth="1"/>
    <col min="2" max="2" width="20.85546875" style="5" bestFit="1" customWidth="1"/>
    <col min="3" max="3" width="21.140625" bestFit="1" customWidth="1"/>
    <col min="4" max="4" width="20.7109375" bestFit="1" customWidth="1"/>
    <col min="5" max="5" width="21.42578125" customWidth="1"/>
    <col min="6" max="6" width="4.7109375" customWidth="1"/>
    <col min="7" max="7" width="20.42578125" style="3" customWidth="1"/>
  </cols>
  <sheetData>
    <row r="1" spans="1:7" ht="15" customHeight="1" x14ac:dyDescent="0.25">
      <c r="A1" s="23" t="s">
        <v>3</v>
      </c>
      <c r="B1" s="23"/>
      <c r="C1" s="23"/>
      <c r="D1" s="23"/>
      <c r="E1" s="23"/>
      <c r="F1" s="23"/>
      <c r="G1" s="23"/>
    </row>
    <row r="2" spans="1:7" ht="15" customHeight="1" x14ac:dyDescent="0.25">
      <c r="A2" s="23"/>
      <c r="B2" s="23"/>
      <c r="C2" s="23"/>
      <c r="D2" s="23"/>
      <c r="E2" s="23"/>
      <c r="F2" s="23"/>
      <c r="G2" s="23"/>
    </row>
    <row r="4" spans="1:7" ht="18.75" x14ac:dyDescent="0.3">
      <c r="B4" s="1" t="s">
        <v>13</v>
      </c>
      <c r="C4" s="6" t="s">
        <v>0</v>
      </c>
      <c r="D4" s="7" t="s">
        <v>1</v>
      </c>
      <c r="E4" s="8" t="s">
        <v>2</v>
      </c>
      <c r="G4" s="4" t="s">
        <v>35</v>
      </c>
    </row>
    <row r="5" spans="1:7" ht="18.75" x14ac:dyDescent="0.3">
      <c r="B5" s="16" t="s">
        <v>14</v>
      </c>
      <c r="C5" s="9">
        <v>42005</v>
      </c>
      <c r="D5" s="10">
        <v>4232</v>
      </c>
      <c r="E5" s="11">
        <v>69793.3</v>
      </c>
      <c r="G5" s="12">
        <f>AVERAGE(CSV_analise_faturamento_anual_pizzaria_2015[Faturamento])</f>
        <v>68155.004166666666</v>
      </c>
    </row>
    <row r="6" spans="1:7" ht="18.75" x14ac:dyDescent="0.3">
      <c r="B6" s="16" t="s">
        <v>15</v>
      </c>
      <c r="C6" s="9">
        <v>42036</v>
      </c>
      <c r="D6" s="10">
        <v>3961</v>
      </c>
      <c r="E6" s="11">
        <v>65159.6</v>
      </c>
    </row>
    <row r="7" spans="1:7" ht="18.75" x14ac:dyDescent="0.3">
      <c r="B7" s="16" t="s">
        <v>16</v>
      </c>
      <c r="C7" s="9">
        <v>42064</v>
      </c>
      <c r="D7" s="10">
        <v>4261</v>
      </c>
      <c r="E7" s="11">
        <v>70397.100000000006</v>
      </c>
      <c r="G7" s="4" t="s">
        <v>26</v>
      </c>
    </row>
    <row r="8" spans="1:7" ht="18.75" x14ac:dyDescent="0.3">
      <c r="B8" s="16" t="s">
        <v>17</v>
      </c>
      <c r="C8" s="9">
        <v>42095</v>
      </c>
      <c r="D8" s="10">
        <v>4151</v>
      </c>
      <c r="E8" s="11">
        <v>68736.800000000003</v>
      </c>
      <c r="G8" s="13">
        <f>SUM(CSV_analise_faturamento_anual_pizzaria_2015[Faturamento])</f>
        <v>817860.05</v>
      </c>
    </row>
    <row r="9" spans="1:7" ht="18.75" x14ac:dyDescent="0.3">
      <c r="B9" s="16" t="s">
        <v>18</v>
      </c>
      <c r="C9" s="9">
        <v>42125</v>
      </c>
      <c r="D9" s="10">
        <v>4328</v>
      </c>
      <c r="E9" s="11">
        <v>71402.75</v>
      </c>
    </row>
    <row r="10" spans="1:7" ht="18.75" x14ac:dyDescent="0.3">
      <c r="B10" s="16" t="s">
        <v>19</v>
      </c>
      <c r="C10" s="9">
        <v>42156</v>
      </c>
      <c r="D10" s="10">
        <v>4107</v>
      </c>
      <c r="E10" s="11">
        <v>68230.2</v>
      </c>
      <c r="G10" s="4" t="s">
        <v>34</v>
      </c>
    </row>
    <row r="11" spans="1:7" ht="18.75" x14ac:dyDescent="0.3">
      <c r="B11" s="16" t="s">
        <v>20</v>
      </c>
      <c r="C11" s="9">
        <v>42186</v>
      </c>
      <c r="D11" s="10">
        <v>4392</v>
      </c>
      <c r="E11" s="11">
        <v>72557.899999999994</v>
      </c>
      <c r="G11" s="24" t="s">
        <v>20</v>
      </c>
    </row>
    <row r="12" spans="1:7" ht="18.75" x14ac:dyDescent="0.3">
      <c r="B12" s="16" t="s">
        <v>21</v>
      </c>
      <c r="C12" s="9">
        <v>42217</v>
      </c>
      <c r="D12" s="10">
        <v>4168</v>
      </c>
      <c r="E12" s="11">
        <v>68278.25</v>
      </c>
    </row>
    <row r="13" spans="1:7" ht="18.75" x14ac:dyDescent="0.3">
      <c r="B13" s="16" t="s">
        <v>22</v>
      </c>
      <c r="C13" s="9">
        <v>42248</v>
      </c>
      <c r="D13" s="10">
        <v>3890</v>
      </c>
      <c r="E13" s="11">
        <v>64180.05</v>
      </c>
      <c r="G13" s="4" t="s">
        <v>33</v>
      </c>
    </row>
    <row r="14" spans="1:7" ht="18.75" x14ac:dyDescent="0.3">
      <c r="B14" s="16" t="s">
        <v>23</v>
      </c>
      <c r="C14" s="9">
        <v>42278</v>
      </c>
      <c r="D14" s="10">
        <v>3883</v>
      </c>
      <c r="E14" s="11">
        <v>64027.6</v>
      </c>
      <c r="G14" s="25" t="s">
        <v>23</v>
      </c>
    </row>
    <row r="15" spans="1:7" ht="18.75" x14ac:dyDescent="0.3">
      <c r="B15" s="16" t="s">
        <v>24</v>
      </c>
      <c r="C15" s="9">
        <v>42309</v>
      </c>
      <c r="D15" s="10">
        <v>4266</v>
      </c>
      <c r="E15" s="11">
        <v>70395.350000000006</v>
      </c>
    </row>
    <row r="16" spans="1:7" ht="18.75" x14ac:dyDescent="0.3">
      <c r="B16" s="16" t="s">
        <v>25</v>
      </c>
      <c r="C16" s="9">
        <v>42339</v>
      </c>
      <c r="D16" s="10">
        <v>3935</v>
      </c>
      <c r="E16" s="11">
        <v>64701.15</v>
      </c>
    </row>
  </sheetData>
  <mergeCells count="1">
    <mergeCell ref="A1:G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84F7-FAFC-4CF2-ABAA-9B6E241F9C35}">
  <dimension ref="A1:N50"/>
  <sheetViews>
    <sheetView showGridLines="0" workbookViewId="0">
      <selection activeCell="G13" sqref="G13"/>
    </sheetView>
  </sheetViews>
  <sheetFormatPr defaultRowHeight="18.75" x14ac:dyDescent="0.3"/>
  <cols>
    <col min="1" max="1" width="2.140625" customWidth="1"/>
    <col min="2" max="2" width="20.42578125" style="17" customWidth="1"/>
    <col min="3" max="3" width="15.7109375" style="2" bestFit="1" customWidth="1"/>
    <col min="4" max="4" width="20.42578125" style="18" customWidth="1"/>
    <col min="5" max="5" width="19.85546875" style="3" customWidth="1"/>
    <col min="6" max="6" width="2.140625" customWidth="1"/>
    <col min="7" max="7" width="27.7109375" style="11" bestFit="1" customWidth="1"/>
    <col min="8" max="8" width="2.140625" customWidth="1"/>
    <col min="9" max="9" width="22.28515625" bestFit="1" customWidth="1"/>
    <col min="10" max="10" width="26.140625" bestFit="1" customWidth="1"/>
    <col min="11" max="11" width="26.85546875" bestFit="1" customWidth="1"/>
  </cols>
  <sheetData>
    <row r="1" spans="1:14" ht="15" customHeight="1" x14ac:dyDescent="0.25">
      <c r="A1" s="22" t="s">
        <v>38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6"/>
      <c r="M1" s="26"/>
      <c r="N1" s="26"/>
    </row>
    <row r="2" spans="1:14" ht="1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6"/>
      <c r="M2" s="26"/>
      <c r="N2" s="26"/>
    </row>
    <row r="3" spans="1:14" ht="12" customHeight="1" x14ac:dyDescent="0.3"/>
    <row r="4" spans="1:14" x14ac:dyDescent="0.3">
      <c r="B4" s="16" t="s">
        <v>4</v>
      </c>
      <c r="C4" s="10" t="s">
        <v>5</v>
      </c>
      <c r="D4" s="19" t="s">
        <v>1</v>
      </c>
      <c r="E4" s="11" t="s">
        <v>2</v>
      </c>
      <c r="G4" s="4" t="s">
        <v>27</v>
      </c>
      <c r="I4" s="20" t="s">
        <v>29</v>
      </c>
      <c r="J4" s="1" t="s">
        <v>31</v>
      </c>
      <c r="K4" s="1" t="s">
        <v>32</v>
      </c>
    </row>
    <row r="5" spans="1:14" x14ac:dyDescent="0.3">
      <c r="B5" s="16" t="s">
        <v>6</v>
      </c>
      <c r="C5" s="9">
        <v>42186</v>
      </c>
      <c r="D5" s="19">
        <v>137</v>
      </c>
      <c r="E5" s="11">
        <v>2231.5</v>
      </c>
      <c r="G5" s="12">
        <f>AVERAGE(CSV_analise_faturamento_julho_pizzaria_2015[Faturamento])</f>
        <v>2340.5774193548386</v>
      </c>
      <c r="I5" s="21" t="s">
        <v>10</v>
      </c>
      <c r="J5" s="14">
        <v>7671.35</v>
      </c>
      <c r="K5" s="15">
        <v>457</v>
      </c>
    </row>
    <row r="6" spans="1:14" x14ac:dyDescent="0.3">
      <c r="B6" s="16" t="s">
        <v>7</v>
      </c>
      <c r="C6" s="9">
        <v>42187</v>
      </c>
      <c r="D6" s="19">
        <v>138</v>
      </c>
      <c r="E6" s="11">
        <v>2294.8000000000002</v>
      </c>
      <c r="I6" s="21" t="s">
        <v>11</v>
      </c>
      <c r="J6" s="14">
        <v>8849.4</v>
      </c>
      <c r="K6" s="15">
        <v>532</v>
      </c>
    </row>
    <row r="7" spans="1:14" x14ac:dyDescent="0.3">
      <c r="B7" s="16" t="s">
        <v>8</v>
      </c>
      <c r="C7" s="9">
        <v>42188</v>
      </c>
      <c r="D7" s="19">
        <v>213</v>
      </c>
      <c r="E7" s="11">
        <v>3443</v>
      </c>
      <c r="G7" s="4" t="s">
        <v>28</v>
      </c>
      <c r="I7" s="21" t="s">
        <v>12</v>
      </c>
      <c r="J7" s="14">
        <v>8456.2999999999993</v>
      </c>
      <c r="K7" s="15">
        <v>512</v>
      </c>
    </row>
    <row r="8" spans="1:14" x14ac:dyDescent="0.3">
      <c r="B8" s="16" t="s">
        <v>9</v>
      </c>
      <c r="C8" s="9">
        <v>42189</v>
      </c>
      <c r="D8" s="19">
        <v>234</v>
      </c>
      <c r="E8" s="11">
        <v>3864.2</v>
      </c>
      <c r="G8" s="13">
        <f>SUM(CSV_analise_faturamento_julho_pizzaria_2015[Faturamento])</f>
        <v>72557.899999999994</v>
      </c>
      <c r="I8" s="21" t="s">
        <v>6</v>
      </c>
      <c r="J8" s="14">
        <v>11344.7</v>
      </c>
      <c r="K8" s="15">
        <v>686</v>
      </c>
    </row>
    <row r="9" spans="1:14" x14ac:dyDescent="0.3">
      <c r="B9" s="16" t="s">
        <v>10</v>
      </c>
      <c r="C9" s="9">
        <v>42190</v>
      </c>
      <c r="D9" s="19">
        <v>96</v>
      </c>
      <c r="E9" s="11">
        <v>1591.45</v>
      </c>
      <c r="I9" s="21" t="s">
        <v>7</v>
      </c>
      <c r="J9" s="14">
        <v>11620.1</v>
      </c>
      <c r="K9" s="15">
        <v>705</v>
      </c>
    </row>
    <row r="10" spans="1:14" x14ac:dyDescent="0.3">
      <c r="B10" s="16" t="s">
        <v>11</v>
      </c>
      <c r="C10" s="9">
        <v>42191</v>
      </c>
      <c r="D10" s="19">
        <v>130</v>
      </c>
      <c r="E10" s="11">
        <v>2116.9</v>
      </c>
      <c r="G10" s="4" t="s">
        <v>36</v>
      </c>
      <c r="I10" s="21" t="s">
        <v>8</v>
      </c>
      <c r="J10" s="14">
        <v>14306.849999999999</v>
      </c>
      <c r="K10" s="15">
        <v>876</v>
      </c>
    </row>
    <row r="11" spans="1:14" x14ac:dyDescent="0.3">
      <c r="B11" s="16" t="s">
        <v>12</v>
      </c>
      <c r="C11" s="9">
        <v>42192</v>
      </c>
      <c r="D11" s="19">
        <v>142</v>
      </c>
      <c r="E11" s="11">
        <v>2374.4</v>
      </c>
      <c r="G11" s="12" t="s">
        <v>37</v>
      </c>
      <c r="I11" s="21" t="s">
        <v>9</v>
      </c>
      <c r="J11" s="14">
        <v>10309.200000000001</v>
      </c>
      <c r="K11" s="15">
        <v>624</v>
      </c>
    </row>
    <row r="12" spans="1:14" x14ac:dyDescent="0.3">
      <c r="B12" s="16" t="s">
        <v>6</v>
      </c>
      <c r="C12" s="9">
        <v>42193</v>
      </c>
      <c r="D12" s="19">
        <v>142</v>
      </c>
      <c r="E12" s="11">
        <v>2396.0500000000002</v>
      </c>
      <c r="I12" s="21" t="s">
        <v>30</v>
      </c>
      <c r="J12" s="14">
        <v>72557.899999999994</v>
      </c>
      <c r="K12" s="15">
        <v>4392</v>
      </c>
    </row>
    <row r="13" spans="1:14" x14ac:dyDescent="0.3">
      <c r="B13" s="16" t="s">
        <v>7</v>
      </c>
      <c r="C13" s="9">
        <v>42194</v>
      </c>
      <c r="D13" s="19">
        <v>135</v>
      </c>
      <c r="E13" s="11">
        <v>2297.75</v>
      </c>
    </row>
    <row r="14" spans="1:14" x14ac:dyDescent="0.3">
      <c r="B14" s="16" t="s">
        <v>8</v>
      </c>
      <c r="C14" s="9">
        <v>42195</v>
      </c>
      <c r="D14" s="19">
        <v>148</v>
      </c>
      <c r="E14" s="11">
        <v>2432.4</v>
      </c>
    </row>
    <row r="15" spans="1:14" x14ac:dyDescent="0.3">
      <c r="B15" s="16" t="s">
        <v>9</v>
      </c>
      <c r="C15" s="9">
        <v>42196</v>
      </c>
      <c r="D15" s="19">
        <v>125</v>
      </c>
      <c r="E15" s="11">
        <v>2085.5500000000002</v>
      </c>
    </row>
    <row r="16" spans="1:14" x14ac:dyDescent="0.3">
      <c r="B16" s="16" t="s">
        <v>10</v>
      </c>
      <c r="C16" s="9">
        <v>42197</v>
      </c>
      <c r="D16" s="19">
        <v>128</v>
      </c>
      <c r="E16" s="11">
        <v>2185.65</v>
      </c>
    </row>
    <row r="17" spans="2:7" x14ac:dyDescent="0.3">
      <c r="B17" s="16" t="s">
        <v>11</v>
      </c>
      <c r="C17" s="9">
        <v>42198</v>
      </c>
      <c r="D17" s="19">
        <v>124</v>
      </c>
      <c r="E17" s="11">
        <v>2059.5</v>
      </c>
    </row>
    <row r="18" spans="2:7" x14ac:dyDescent="0.3">
      <c r="B18" s="16" t="s">
        <v>12</v>
      </c>
      <c r="C18" s="9">
        <v>42199</v>
      </c>
      <c r="D18" s="19">
        <v>119</v>
      </c>
      <c r="E18" s="11">
        <v>1956.5</v>
      </c>
    </row>
    <row r="19" spans="2:7" x14ac:dyDescent="0.3">
      <c r="B19" s="16" t="s">
        <v>6</v>
      </c>
      <c r="C19" s="9">
        <v>42200</v>
      </c>
      <c r="D19" s="19">
        <v>154</v>
      </c>
      <c r="E19" s="11">
        <v>2501.8000000000002</v>
      </c>
    </row>
    <row r="20" spans="2:7" x14ac:dyDescent="0.3">
      <c r="B20" s="16" t="s">
        <v>7</v>
      </c>
      <c r="C20" s="9">
        <v>42201</v>
      </c>
      <c r="D20" s="19">
        <v>146</v>
      </c>
      <c r="E20" s="11">
        <v>2463.9</v>
      </c>
      <c r="G20"/>
    </row>
    <row r="21" spans="2:7" x14ac:dyDescent="0.3">
      <c r="B21" s="16" t="s">
        <v>8</v>
      </c>
      <c r="C21" s="9">
        <v>42202</v>
      </c>
      <c r="D21" s="19">
        <v>187</v>
      </c>
      <c r="E21" s="11">
        <v>3131.65</v>
      </c>
      <c r="G21"/>
    </row>
    <row r="22" spans="2:7" x14ac:dyDescent="0.3">
      <c r="B22" s="16" t="s">
        <v>9</v>
      </c>
      <c r="C22" s="9">
        <v>42203</v>
      </c>
      <c r="D22" s="19">
        <v>130</v>
      </c>
      <c r="E22" s="11">
        <v>2122.1999999999998</v>
      </c>
      <c r="G22"/>
    </row>
    <row r="23" spans="2:7" x14ac:dyDescent="0.3">
      <c r="B23" s="16" t="s">
        <v>10</v>
      </c>
      <c r="C23" s="9">
        <v>42204</v>
      </c>
      <c r="D23" s="19">
        <v>121</v>
      </c>
      <c r="E23" s="11">
        <v>2022.7</v>
      </c>
      <c r="G23"/>
    </row>
    <row r="24" spans="2:7" x14ac:dyDescent="0.3">
      <c r="B24" s="16" t="s">
        <v>11</v>
      </c>
      <c r="C24" s="9">
        <v>42205</v>
      </c>
      <c r="D24" s="19">
        <v>149</v>
      </c>
      <c r="E24" s="11">
        <v>2501</v>
      </c>
      <c r="G24"/>
    </row>
    <row r="25" spans="2:7" x14ac:dyDescent="0.3">
      <c r="B25" s="16" t="s">
        <v>12</v>
      </c>
      <c r="C25" s="9">
        <v>42206</v>
      </c>
      <c r="D25" s="19">
        <v>119</v>
      </c>
      <c r="E25" s="11">
        <v>2030.85</v>
      </c>
      <c r="G25"/>
    </row>
    <row r="26" spans="2:7" x14ac:dyDescent="0.3">
      <c r="B26" s="16" t="s">
        <v>6</v>
      </c>
      <c r="C26" s="9">
        <v>42207</v>
      </c>
      <c r="D26" s="19">
        <v>137</v>
      </c>
      <c r="E26" s="11">
        <v>2292.1</v>
      </c>
      <c r="G26"/>
    </row>
    <row r="27" spans="2:7" x14ac:dyDescent="0.3">
      <c r="B27" s="16" t="s">
        <v>7</v>
      </c>
      <c r="C27" s="9">
        <v>42208</v>
      </c>
      <c r="D27" s="19">
        <v>137</v>
      </c>
      <c r="E27" s="11">
        <v>2214.5</v>
      </c>
      <c r="G27"/>
    </row>
    <row r="28" spans="2:7" x14ac:dyDescent="0.3">
      <c r="B28" s="16" t="s">
        <v>8</v>
      </c>
      <c r="C28" s="9">
        <v>42209</v>
      </c>
      <c r="D28" s="19">
        <v>196</v>
      </c>
      <c r="E28" s="11">
        <v>3204.4</v>
      </c>
      <c r="G28"/>
    </row>
    <row r="29" spans="2:7" x14ac:dyDescent="0.3">
      <c r="B29" s="16" t="s">
        <v>9</v>
      </c>
      <c r="C29" s="9">
        <v>42210</v>
      </c>
      <c r="D29" s="19">
        <v>135</v>
      </c>
      <c r="E29" s="11">
        <v>2237.25</v>
      </c>
      <c r="G29"/>
    </row>
    <row r="30" spans="2:7" x14ac:dyDescent="0.3">
      <c r="B30" s="16" t="s">
        <v>10</v>
      </c>
      <c r="C30" s="9">
        <v>42211</v>
      </c>
      <c r="D30" s="19">
        <v>112</v>
      </c>
      <c r="E30" s="11">
        <v>1871.55</v>
      </c>
      <c r="G30"/>
    </row>
    <row r="31" spans="2:7" x14ac:dyDescent="0.3">
      <c r="B31" s="16" t="s">
        <v>11</v>
      </c>
      <c r="C31" s="9">
        <v>42212</v>
      </c>
      <c r="D31" s="19">
        <v>129</v>
      </c>
      <c r="E31" s="11">
        <v>2172</v>
      </c>
      <c r="G31"/>
    </row>
    <row r="32" spans="2:7" x14ac:dyDescent="0.3">
      <c r="B32" s="16" t="s">
        <v>12</v>
      </c>
      <c r="C32" s="9">
        <v>42213</v>
      </c>
      <c r="D32" s="19">
        <v>132</v>
      </c>
      <c r="E32" s="11">
        <v>2094.5500000000002</v>
      </c>
      <c r="G32"/>
    </row>
    <row r="33" spans="2:7" x14ac:dyDescent="0.3">
      <c r="B33" s="16" t="s">
        <v>6</v>
      </c>
      <c r="C33" s="9">
        <v>42214</v>
      </c>
      <c r="D33" s="19">
        <v>116</v>
      </c>
      <c r="E33" s="11">
        <v>1923.25</v>
      </c>
      <c r="G33"/>
    </row>
    <row r="34" spans="2:7" x14ac:dyDescent="0.3">
      <c r="B34" s="16" t="s">
        <v>7</v>
      </c>
      <c r="C34" s="9">
        <v>42215</v>
      </c>
      <c r="D34" s="19">
        <v>149</v>
      </c>
      <c r="E34" s="11">
        <v>2349.15</v>
      </c>
      <c r="G34"/>
    </row>
    <row r="35" spans="2:7" x14ac:dyDescent="0.3">
      <c r="B35" s="16" t="s">
        <v>8</v>
      </c>
      <c r="C35" s="9">
        <v>42216</v>
      </c>
      <c r="D35" s="19">
        <v>132</v>
      </c>
      <c r="E35" s="11">
        <v>2095.4</v>
      </c>
      <c r="G35"/>
    </row>
    <row r="36" spans="2:7" ht="15" x14ac:dyDescent="0.25">
      <c r="G36"/>
    </row>
    <row r="37" spans="2:7" ht="15" x14ac:dyDescent="0.25">
      <c r="G37"/>
    </row>
    <row r="38" spans="2:7" ht="15" x14ac:dyDescent="0.25">
      <c r="G38"/>
    </row>
    <row r="39" spans="2:7" ht="15" x14ac:dyDescent="0.25">
      <c r="G39"/>
    </row>
    <row r="40" spans="2:7" ht="15" x14ac:dyDescent="0.25">
      <c r="G40"/>
    </row>
    <row r="41" spans="2:7" ht="15" x14ac:dyDescent="0.25">
      <c r="G41"/>
    </row>
    <row r="42" spans="2:7" ht="15" x14ac:dyDescent="0.25">
      <c r="G42"/>
    </row>
    <row r="43" spans="2:7" ht="15" x14ac:dyDescent="0.25">
      <c r="G43"/>
    </row>
    <row r="44" spans="2:7" ht="15" x14ac:dyDescent="0.25">
      <c r="G44"/>
    </row>
    <row r="45" spans="2:7" ht="15" x14ac:dyDescent="0.25">
      <c r="G45"/>
    </row>
    <row r="46" spans="2:7" ht="15" x14ac:dyDescent="0.25">
      <c r="G46"/>
    </row>
    <row r="47" spans="2:7" ht="15" x14ac:dyDescent="0.25">
      <c r="G47"/>
    </row>
    <row r="48" spans="2:7" ht="15" x14ac:dyDescent="0.25">
      <c r="G48"/>
    </row>
    <row r="49" spans="7:7" ht="15" x14ac:dyDescent="0.25">
      <c r="G49"/>
    </row>
    <row r="50" spans="7:7" ht="15" x14ac:dyDescent="0.25">
      <c r="G50"/>
    </row>
  </sheetData>
  <mergeCells count="1">
    <mergeCell ref="A1:K2"/>
  </mergeCells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97FC9F-0A67-4435-B6F9-1005022C96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Faturamento Anual</vt:lpstr>
      <vt:lpstr>Faturamento Mês de Julho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 Silva</dc:creator>
  <cp:lastModifiedBy>Rodrigo Oliveira Silva</cp:lastModifiedBy>
  <dcterms:created xsi:type="dcterms:W3CDTF">2026-06-01T17:44:18Z</dcterms:created>
  <dcterms:modified xsi:type="dcterms:W3CDTF">2026-06-10T14:32:09Z</dcterms:modified>
</cp:coreProperties>
</file>